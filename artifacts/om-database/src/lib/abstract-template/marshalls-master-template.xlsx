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G:\My Drive\Claude\Lease Abstracts\University Hills\"/>
    </mc:Choice>
  </mc:AlternateContent>
  <xr:revisionPtr revIDLastSave="0" documentId="8_{9AADBE34-1B27-4C3F-9AA5-AAF9F90C2418}" xr6:coauthVersionLast="47" xr6:coauthVersionMax="47" xr10:uidLastSave="{00000000-0000-0000-0000-000000000000}"/>
  <bookViews>
    <workbookView xWindow="-108" yWindow="-108" windowWidth="30936" windowHeight="16776" xr2:uid="{509F125B-BFBD-4759-BD70-CAD7E3B7FA4F}"/>
  </bookViews>
  <sheets>
    <sheet name="Marshalls(r)" sheetId="1" r:id="rId1"/>
  </sheets>
  <externalReferences>
    <externalReference r:id="rId2"/>
  </externalReferences>
  <definedNames>
    <definedName name="_xlnm.Print_Area" localSheetId="0">'Marshalls(r)'!$A$1:$K$464</definedName>
    <definedName name="sf" localSheetId="0">'[1]Stop &amp; Shop'!$C$6</definedName>
    <definedName name="sf">'[1]Stop &amp; Shop'!$C$6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C136" i="1" l="1"/>
  <c r="C135" i="1"/>
  <c r="C134" i="1"/>
  <c r="C133" i="1"/>
  <c r="C132" i="1"/>
  <c r="C131" i="1"/>
  <c r="G90" i="1"/>
  <c r="D90" i="1"/>
  <c r="G88" i="1"/>
  <c r="D88" i="1"/>
  <c r="G86" i="1"/>
  <c r="D86" i="1"/>
  <c r="G84" i="1"/>
  <c r="D84" i="1"/>
  <c r="G81" i="1"/>
  <c r="D81" i="1"/>
  <c r="G80" i="1"/>
  <c r="G92" i="1" s="1"/>
  <c r="D80" i="1"/>
  <c r="F70" i="1"/>
  <c r="E70" i="1"/>
  <c r="F69" i="1"/>
  <c r="E69" i="1"/>
  <c r="F68" i="1"/>
  <c r="E68" i="1"/>
  <c r="F67" i="1"/>
  <c r="E67" i="1"/>
  <c r="B24" i="1"/>
  <c r="I22" i="1"/>
  <c r="C22" i="1"/>
  <c r="I20" i="1"/>
  <c r="C20" i="1"/>
</calcChain>
</file>

<file path=xl/sharedStrings.xml><?xml version="1.0" encoding="utf-8"?>
<sst xmlns="http://schemas.openxmlformats.org/spreadsheetml/2006/main" count="657" uniqueCount="516">
  <si>
    <t xml:space="preserve">Tenant Name: </t>
  </si>
  <si>
    <t>Marshalls of MA, Inc.</t>
  </si>
  <si>
    <t>DBA:</t>
  </si>
  <si>
    <t>Sch A</t>
  </si>
  <si>
    <t>Center:</t>
  </si>
  <si>
    <t>University Hills</t>
  </si>
  <si>
    <t>Suite (Site Plan) #:</t>
  </si>
  <si>
    <t>MRI #:</t>
  </si>
  <si>
    <t>-</t>
  </si>
  <si>
    <t>Premises GLA:</t>
  </si>
  <si>
    <r>
      <t>Lease &amp; Amendments</t>
    </r>
    <r>
      <rPr>
        <i/>
        <u/>
        <sz val="10"/>
        <rFont val="Times New Roman"/>
        <family val="1"/>
      </rPr>
      <t xml:space="preserve"> </t>
    </r>
  </si>
  <si>
    <t>Lease Agreement dated 11/10/2015</t>
  </si>
  <si>
    <t>Turnover Notice dated 07/07/2016 - confirms Substantial Completion &amp; Delivery of Possession date as 07/08/2016</t>
  </si>
  <si>
    <t>Commencement Date Agreement dated 08/18/2016 - specifies CD as 08/18/2016 and ED as 08/31/2026.</t>
  </si>
  <si>
    <t>Consent and Omnibus Agreement dated 09/23/2020 - COVID related</t>
  </si>
  <si>
    <t>Lease – Property / Tenant Information</t>
  </si>
  <si>
    <t>Building Name</t>
  </si>
  <si>
    <t>Suite #</t>
  </si>
  <si>
    <t>Tenant Name</t>
  </si>
  <si>
    <t>Premises GLA</t>
  </si>
  <si>
    <t>DBA</t>
  </si>
  <si>
    <r>
      <t>Lease-Categories/Dates</t>
    </r>
    <r>
      <rPr>
        <i/>
        <u/>
        <sz val="8"/>
        <rFont val="Times New Roman"/>
        <family val="1"/>
      </rPr>
      <t xml:space="preserve"> </t>
    </r>
  </si>
  <si>
    <t>LEASE DATES</t>
  </si>
  <si>
    <t xml:space="preserve"> DEPOSIT INFORMATION</t>
  </si>
  <si>
    <t>Lease Date</t>
  </si>
  <si>
    <t>Non-Cash Deposit</t>
  </si>
  <si>
    <t>None</t>
  </si>
  <si>
    <t>Open Date</t>
  </si>
  <si>
    <t>Not Provided</t>
  </si>
  <si>
    <t xml:space="preserve">Interest Start Date </t>
  </si>
  <si>
    <t>Lease Comm.</t>
  </si>
  <si>
    <t>Last Interest Earned Date</t>
  </si>
  <si>
    <t>Cancel</t>
  </si>
  <si>
    <t>Vendor ID</t>
  </si>
  <si>
    <t>Insurance Cert. Exp.</t>
  </si>
  <si>
    <t>Lease Expiration</t>
  </si>
  <si>
    <t xml:space="preserve">Cash Deposit </t>
  </si>
  <si>
    <t>Rent Start Date</t>
  </si>
  <si>
    <t xml:space="preserve">Interest Bearing: </t>
  </si>
  <si>
    <t xml:space="preserve"> Yes / </t>
  </si>
  <si>
    <t xml:space="preserve"> No /</t>
  </si>
  <si>
    <t xml:space="preserve"> N/A</t>
  </si>
  <si>
    <r>
      <t>Notice Address</t>
    </r>
    <r>
      <rPr>
        <i/>
        <u/>
        <sz val="10"/>
        <rFont val="Times New Roman"/>
        <family val="1"/>
      </rPr>
      <t xml:space="preserve"> </t>
    </r>
  </si>
  <si>
    <t>Lease Address Type</t>
  </si>
  <si>
    <t>Legal</t>
  </si>
  <si>
    <t>Sec. 18.8</t>
  </si>
  <si>
    <t>Name:</t>
  </si>
  <si>
    <t>Attn:</t>
  </si>
  <si>
    <t>Vice President-Real Estate</t>
  </si>
  <si>
    <t>Address</t>
  </si>
  <si>
    <t>770 Cochituate Road</t>
  </si>
  <si>
    <t>Route 300-C2N</t>
  </si>
  <si>
    <t xml:space="preserve">City </t>
  </si>
  <si>
    <t>Framingham</t>
  </si>
  <si>
    <t>State</t>
  </si>
  <si>
    <t>MA</t>
  </si>
  <si>
    <t xml:space="preserve">Zip Code </t>
  </si>
  <si>
    <t>01701</t>
  </si>
  <si>
    <t>Copy</t>
  </si>
  <si>
    <t>Legal Department, Vice President, Legal - Real Estate</t>
  </si>
  <si>
    <t>Billing</t>
  </si>
  <si>
    <t>Marshalls of MA, Inc. c/o The TJX Companies, Inc.</t>
  </si>
  <si>
    <t>Lease Administration Department</t>
  </si>
  <si>
    <t>Route 300-2AN</t>
  </si>
  <si>
    <t>Lease – Options</t>
  </si>
  <si>
    <t>Sec. 4.2, 5.1(c-g)</t>
  </si>
  <si>
    <t>Option</t>
  </si>
  <si>
    <t>Notice</t>
  </si>
  <si>
    <t xml:space="preserve"> Suite</t>
  </si>
  <si>
    <t>Square</t>
  </si>
  <si>
    <t>Term</t>
  </si>
  <si>
    <t>Rate</t>
  </si>
  <si>
    <t>Expire</t>
  </si>
  <si>
    <t>Number</t>
  </si>
  <si>
    <t>Date</t>
  </si>
  <si>
    <t>Type</t>
  </si>
  <si>
    <t xml:space="preserve"> ID</t>
  </si>
  <si>
    <t>Feet</t>
  </si>
  <si>
    <t>Months</t>
  </si>
  <si>
    <t>(PSF)</t>
  </si>
  <si>
    <t>Descriptor</t>
  </si>
  <si>
    <t>REN</t>
  </si>
  <si>
    <t>PSF</t>
  </si>
  <si>
    <t>Option Notes:</t>
  </si>
  <si>
    <t>4, 5 yrs renewal options, upon 6 months notice. Extra Period: An extension period of a fraction of a yr. ending upon the</t>
  </si>
  <si>
    <t>January 31st next following the expiration of the original term, or the term as previously extended. During the Extra Period,</t>
  </si>
  <si>
    <t>Tenant will pay minimum rent at the annual rate in effect immediately prior to the commencement of the Extra Period.</t>
  </si>
  <si>
    <t>Billing – Recurring Charges</t>
  </si>
  <si>
    <t xml:space="preserve">Income </t>
  </si>
  <si>
    <t xml:space="preserve"> Effective</t>
  </si>
  <si>
    <t>End</t>
  </si>
  <si>
    <t>Annual</t>
  </si>
  <si>
    <t>Monthly</t>
  </si>
  <si>
    <t>Charge</t>
  </si>
  <si>
    <t>Category</t>
  </si>
  <si>
    <t xml:space="preserve"> Amount/sf </t>
  </si>
  <si>
    <t xml:space="preserve">Total </t>
  </si>
  <si>
    <t>Amount</t>
  </si>
  <si>
    <t>Month</t>
  </si>
  <si>
    <t>Day</t>
  </si>
  <si>
    <t>Sec. 5.1</t>
  </si>
  <si>
    <t>RNT</t>
  </si>
  <si>
    <t>Option 1</t>
  </si>
  <si>
    <t>Option 2</t>
  </si>
  <si>
    <t>Option 3</t>
  </si>
  <si>
    <t>Option 4</t>
  </si>
  <si>
    <t>Deferred</t>
  </si>
  <si>
    <t>Payback</t>
  </si>
  <si>
    <t>Omnibus Amd, Sec. 2</t>
  </si>
  <si>
    <r>
      <t>Retail - Percentage Rent</t>
    </r>
    <r>
      <rPr>
        <u/>
        <sz val="10"/>
        <rFont val="Times New Roman"/>
        <family val="1"/>
      </rPr>
      <t xml:space="preserve"> </t>
    </r>
  </si>
  <si>
    <t>Sec. 7.3, 7.4</t>
  </si>
  <si>
    <t>Reporting Frequency</t>
  </si>
  <si>
    <t>120 days</t>
  </si>
  <si>
    <t>Quarter</t>
  </si>
  <si>
    <t>Semi-Annual</t>
  </si>
  <si>
    <t># of Sales Performance Report _____ (Skip Section: Default = 1)</t>
  </si>
  <si>
    <t>Default Sales Department ___Gross___ (Skip Section: Default = Gross)</t>
  </si>
  <si>
    <t>Percentage Rent in Lieu of Minimum Rent</t>
  </si>
  <si>
    <t>(If Yes then put terms in Notes section)</t>
  </si>
  <si>
    <t>Use Natural Breakpoint: Yes</t>
  </si>
  <si>
    <t>Sales Year End</t>
  </si>
  <si>
    <t>(MM/DD) – Lease Year End</t>
  </si>
  <si>
    <t>Per Sec. 7.1</t>
  </si>
  <si>
    <t>Report Type Required for Close Year _____ (CER or RPT)</t>
  </si>
  <si>
    <t xml:space="preserve">Retail - Percentage Rent </t>
  </si>
  <si>
    <t>RETAIL BILLING INFORMATION</t>
  </si>
  <si>
    <r>
      <t>Income Category _</t>
    </r>
    <r>
      <rPr>
        <u/>
        <sz val="10"/>
        <rFont val="Times New Roman"/>
        <family val="1"/>
      </rPr>
      <t>PER</t>
    </r>
    <r>
      <rPr>
        <sz val="10"/>
        <rFont val="Times New Roman"/>
        <family val="1"/>
      </rPr>
      <t>____ (Skip section: Default = PER)</t>
    </r>
  </si>
  <si>
    <r>
      <t xml:space="preserve">Billing Frequency </t>
    </r>
    <r>
      <rPr>
        <u/>
        <sz val="10"/>
        <color indexed="10"/>
        <rFont val="Times New Roman"/>
        <family val="1"/>
      </rPr>
      <t/>
    </r>
  </si>
  <si>
    <t xml:space="preserve">Monthly / </t>
  </si>
  <si>
    <t xml:space="preserve">Annual / </t>
  </si>
  <si>
    <t xml:space="preserve">Quarter / </t>
  </si>
  <si>
    <t>Percentage Rent Paid</t>
  </si>
  <si>
    <r>
      <t>Sales Dept. ID __</t>
    </r>
    <r>
      <rPr>
        <u/>
        <sz val="10"/>
        <rFont val="Times New Roman"/>
        <family val="1"/>
      </rPr>
      <t>_Gross</t>
    </r>
    <r>
      <rPr>
        <sz val="10"/>
        <rFont val="Times New Roman"/>
        <family val="1"/>
      </rPr>
      <t>___ (Skip section: Default = GROSS)</t>
    </r>
  </si>
  <si>
    <t>Offset Amount</t>
  </si>
  <si>
    <t>(Recapture)</t>
  </si>
  <si>
    <t>Report Type for Billing ____RPT_____ (CER or RPT)</t>
  </si>
  <si>
    <t>Calculate Est. Sales Each Billing __X___ (Skip: Default = Unchecked)</t>
  </si>
  <si>
    <r>
      <t>Formula ID ___</t>
    </r>
    <r>
      <rPr>
        <u/>
        <sz val="10"/>
        <rFont val="Times New Roman"/>
        <family val="1"/>
      </rPr>
      <t>_PCT_STD</t>
    </r>
    <r>
      <rPr>
        <sz val="10"/>
        <rFont val="Times New Roman"/>
        <family val="1"/>
      </rPr>
      <t>_(Default equal to PCTG_STD)</t>
    </r>
  </si>
  <si>
    <t xml:space="preserve"> (Use PCTG_OFF CAP if offset amount)</t>
  </si>
  <si>
    <t>BREAKPOINTS</t>
  </si>
  <si>
    <t>Sales Department _______ (Skip Section: Default = GROSS)</t>
  </si>
  <si>
    <t>Start Date</t>
  </si>
  <si>
    <t>Percentage</t>
  </si>
  <si>
    <t>Breakpoint 1</t>
  </si>
  <si>
    <t>Percentage2</t>
  </si>
  <si>
    <t>Breakpoint2</t>
  </si>
  <si>
    <t>Percentage3</t>
  </si>
  <si>
    <t>Breakpoint3</t>
  </si>
  <si>
    <r>
      <t>Lease Notes</t>
    </r>
    <r>
      <rPr>
        <u/>
        <sz val="10"/>
        <rFont val="Times New Roman"/>
        <family val="1"/>
      </rPr>
      <t xml:space="preserve"> </t>
    </r>
  </si>
  <si>
    <t>Section</t>
  </si>
  <si>
    <t>Reference 1</t>
  </si>
  <si>
    <t>Reference 2</t>
  </si>
  <si>
    <t>Notes</t>
  </si>
  <si>
    <t>1.1, Sch A</t>
  </si>
  <si>
    <t>SHOPPING CENTER / LANDLORD'S</t>
  </si>
  <si>
    <t>University Hills SC - as depicted on Sch A</t>
  </si>
  <si>
    <t>PROPERTY DEFINITIONS</t>
  </si>
  <si>
    <t xml:space="preserve">SECDEP </t>
  </si>
  <si>
    <t xml:space="preserve">(Security Deposit) </t>
  </si>
  <si>
    <t>1.2</t>
  </si>
  <si>
    <t xml:space="preserve">USE </t>
  </si>
  <si>
    <t>(Use Clause)</t>
  </si>
  <si>
    <t>To use retail store.</t>
  </si>
  <si>
    <t xml:space="preserve">RADIUS </t>
  </si>
  <si>
    <t xml:space="preserve">(Radius) </t>
  </si>
  <si>
    <t>LL RADIUS</t>
  </si>
  <si>
    <t>Sch B(4(B, C))</t>
  </si>
  <si>
    <t xml:space="preserve">EXCLUSI </t>
  </si>
  <si>
    <t>(Exclusive Use)</t>
  </si>
  <si>
    <t>LL agrees, no other premises in the SC shall at any time contain more than 15,000 Sq.ft of floor area used</t>
  </si>
  <si>
    <t>for the sale or display of off-price brand name men's women's and children's apparel.(Competing Use).</t>
  </si>
  <si>
    <t>Exceptions:T.J. Maxx, T.J. Maxx 'N More, Marshalls and Mega Marshalls; Wal-Mart, Target, J.C. Penney,</t>
  </si>
  <si>
    <t>Sears or Kohl's (provided that if Kohl's opens for business in the SC, then from the date that Kohl's opens</t>
  </si>
  <si>
    <t>for business, Tenant shall pay Alternate Rent in lieu of minimum rent and percentage rent, if applicable,</t>
  </si>
  <si>
    <t>until such time as Kohl's is no longer operating in the SC Tenant have the right to terminate by sending</t>
  </si>
  <si>
    <t>notice to LL w/in 180 days after Kohl's opens for business in the SC which termination shall be effective</t>
  </si>
  <si>
    <t>on the 90th day after Tenant's notice) and other general merchandiser department stores having at least</t>
  </si>
  <si>
    <t>50,000 Sq.ft of space; (iii) a full line sporting goods store. Also not apply with respect to rights previously</t>
  </si>
  <si>
    <t>granted to tenants as of the Lease date.</t>
  </si>
  <si>
    <t>; Lease, 4.3(A(2), B), 4.7</t>
  </si>
  <si>
    <t xml:space="preserve">COTENCY </t>
  </si>
  <si>
    <t>(Co-tenancy)</t>
  </si>
  <si>
    <t>If less than 3 of the following open for more than 30 days King Soopers containing 65,000 Sq.ft; Pier 1</t>
  </si>
  <si>
    <t>(20,000 sf) Michaels (32,000 Sq.ft); PetSmart (15,000 sf) 24 Hour Fitness (16,000 Sq.ft) Tenant pays the</t>
  </si>
  <si>
    <t>Alternate Rent - lesser of 2% of sales or min rent If exists for &gt; 365 days, Tenant may terminate with 90</t>
  </si>
  <si>
    <t>days notice or must revert to full. Qualified Replacement shall mean a retailer which must use at least</t>
  </si>
  <si>
    <t>80% of the premises it replaces as set forth above (or in the case of King Soopers, up to 2 retailers</t>
  </si>
  <si>
    <t>which collectively use at least 80% of the King Soopers premises), and all of which retailers must</t>
  </si>
  <si>
    <t>operate not less 25 stores regionally (meaning New Mexico, Utah, Colorado, Wyoming and Montana) or</t>
  </si>
  <si>
    <t xml:space="preserve">50 stores nationally under the same trade name as the store(s) to be operated in the SC. </t>
  </si>
  <si>
    <t>COVID exception no longer applies</t>
  </si>
  <si>
    <t xml:space="preserve">KICKLL </t>
  </si>
  <si>
    <t>(Kickout/Termination)</t>
  </si>
  <si>
    <t xml:space="preserve">KICKTN </t>
  </si>
  <si>
    <t>Omnibus Amd, (5-7); Lease, Sch A, Sch B, 4(A)</t>
  </si>
  <si>
    <t xml:space="preserve">NBNC </t>
  </si>
  <si>
    <t>(LL Restrictions)</t>
  </si>
  <si>
    <t>LL agrees SC shall not be used (a) for any non-retail purposes, (b) for any entertainment purposes such</t>
  </si>
  <si>
    <t>as a bowling alley, skating rink, cinema, bar (except as incidental to a restaurant use), nightclub,</t>
  </si>
  <si>
    <t>discotheque, amusement gallery, poolroom, health club (except for 1 health club in its presently existing</t>
  </si>
  <si>
    <t>size and location where shown on the Lease Plan and 1 small health club such as a Curves having up to</t>
  </si>
  <si>
    <t>3500 Sq.ft provided such establishment is not adjacent to the Premises), massage parlor (except for</t>
  </si>
  <si>
    <t>Massage Envy or any spa or health club providing therapeutic massage services, provided such facility</t>
  </si>
  <si>
    <t>is not contiguous to the Premises and provided that such facility does not exceed 5,000 Sq.ft), sporting</t>
  </si>
  <si>
    <t>event, sports or game facility, off-track betting club, (c) (throughout the Shopping Center, without</t>
  </si>
  <si>
    <t>exception) for any establishment which sells or displays pornographic materials, (d) for any</t>
  </si>
  <si>
    <t>establishment which sells or displays used merchandise or second hand goods (except for first class</t>
  </si>
  <si>
    <t>retail operations typically found in first class SC which sell or display used merchandise or second hand</t>
  </si>
  <si>
    <t>goods (such as Play it Again Sports, Once Upon a Child, Plato's Closet and the like), not to exceed 8,000</t>
  </si>
  <si>
    <t>Sq.ft in the aggregate), (e) for an educational facility, except for educational service use such as a</t>
  </si>
  <si>
    <t>Huntington Learning Center, Sylvan or Kaplan, not to exceed five 5,000 Sq.ft of space in the aggregate</t>
  </si>
  <si>
    <t>(or a Regency Beauty or similar use having up to 7,500 Sq.ft), or (f) for restaurants or establishments</t>
  </si>
  <si>
    <t>selling food prepared on premises for consumption on or off premises (Restaurants) except if located at</t>
  </si>
  <si>
    <t>least 150 from the Demised Premises (but Restaurants in their presently existing size and location and</t>
  </si>
  <si>
    <t>replacements there shall be permitted), provided that all Restaurants shall not exceed 20,000 Sq.ft in the</t>
  </si>
  <si>
    <t>aggregate. LL may have (i) 1 additional health spa, exercise facility or boutique fitness establishment up</t>
  </si>
  <si>
    <t>to 2,500 SF, and (ii) upon Tenant's prior written approval, additional restaurant, but not located within 200</t>
  </si>
  <si>
    <t>feet from any point along the storefront of the Premises.</t>
  </si>
  <si>
    <t>LL may have up to an aggregate of 5,000 SF of medical uses and/or dental uses in the SC, if already</t>
  </si>
  <si>
    <t>allowed medical and/or dental service provider that includes a retail sales area within its premises, such</t>
  </si>
  <si>
    <t>as America's Best.</t>
  </si>
  <si>
    <t>Sch B(5), Sch F</t>
  </si>
  <si>
    <t>TRSTR</t>
  </si>
  <si>
    <t>(Tenant Restrictions)</t>
  </si>
  <si>
    <t>Tenant will not use the Premises in violation of any other tenant exclusive or prohibit use set forth in Sch F.</t>
  </si>
  <si>
    <t>6.1, Sch A, Sch B(2, 7, 10)</t>
  </si>
  <si>
    <t>CAM</t>
  </si>
  <si>
    <t>(CAM Method)</t>
  </si>
  <si>
    <t>Leasable / Leased / Other:</t>
  </si>
  <si>
    <t>Total Gross Leasable Area w/in SC</t>
  </si>
  <si>
    <t>Sec. 6.1</t>
  </si>
  <si>
    <t>Prorata Share Method:</t>
  </si>
  <si>
    <t>Ground Floor Area in the Premises / Total Gross Leasable Area w/in SC</t>
  </si>
  <si>
    <t>Excluded Areas:</t>
  </si>
  <si>
    <t>Service areas</t>
  </si>
  <si>
    <t xml:space="preserve">Exclusions: </t>
  </si>
  <si>
    <t>LL's insurance costs, management or administrative fees or overhead or</t>
  </si>
  <si>
    <t>allocable to any so-called capital expenditures</t>
  </si>
  <si>
    <t>Admin Fee:</t>
  </si>
  <si>
    <t xml:space="preserve">Payments: </t>
  </si>
  <si>
    <t>Monthly Estimate / Annual Reconciliation / Quarterly Reconciliation</t>
  </si>
  <si>
    <r>
      <t>Management Fee:</t>
    </r>
    <r>
      <rPr>
        <sz val="10"/>
        <rFont val="Times New Roman"/>
        <family val="1"/>
      </rPr>
      <t xml:space="preserve"> </t>
    </r>
  </si>
  <si>
    <t xml:space="preserve">Included / </t>
  </si>
  <si>
    <t xml:space="preserve"> Excluded </t>
  </si>
  <si>
    <t>Silent but includes costs of management</t>
  </si>
  <si>
    <t xml:space="preserve">Capital Repairs: </t>
  </si>
  <si>
    <t>/ Silent / See Notes</t>
  </si>
  <si>
    <r>
      <t>Amort. of Capital Repairs</t>
    </r>
    <r>
      <rPr>
        <sz val="10"/>
        <rFont val="Times New Roman"/>
        <family val="1"/>
      </rPr>
      <t xml:space="preserve">: </t>
    </r>
  </si>
  <si>
    <t>Absolute LL Deadline:</t>
  </si>
  <si>
    <r>
      <t>Other</t>
    </r>
    <r>
      <rPr>
        <sz val="10"/>
        <rFont val="Times New Roman"/>
        <family val="1"/>
      </rPr>
      <t>:</t>
    </r>
  </si>
  <si>
    <t>For the 1st year (08/18/2016 - 08/17/2017); $3,099.85/month (based on estimated CAM Costs of</t>
  </si>
  <si>
    <t>$1.19/Sq.ft and Insurance Costs of $0.44/Sq.ft)</t>
  </si>
  <si>
    <t>Common areas includes Parking Areas, Service Areas, the entrances and exits of the SC</t>
  </si>
  <si>
    <t>and any landscaped areas w/in SC.</t>
  </si>
  <si>
    <t>CAP:</t>
  </si>
  <si>
    <t>During first year not exceed $1.19/SF/annum and thereafter not exceed by more than 4%</t>
  </si>
  <si>
    <t>per annum on a non-cumulative basis excluding snow removal, Utility rate increase.</t>
  </si>
  <si>
    <t>Audit:</t>
  </si>
  <si>
    <t>At any time w/in 3 years before or after the making of payments.</t>
  </si>
  <si>
    <t>6.1-6.5; Sch A, Sch B, 10</t>
  </si>
  <si>
    <t>RETX</t>
  </si>
  <si>
    <t>(Tax Method)</t>
  </si>
  <si>
    <t>If any Out Parcel is separately assessed, Real estate taxes due w/ respect to</t>
  </si>
  <si>
    <t>such separately-assessed Out Parcel are paid separately by such tenant or</t>
  </si>
  <si>
    <t>occupant, in such event the denominator of Tenant’s Fraction for purposes of</t>
  </si>
  <si>
    <t>allocating real estate taxes is adjusted to exclude the area of such Out Parcel.</t>
  </si>
  <si>
    <t>Standard Exclusion</t>
  </si>
  <si>
    <t xml:space="preserve">Appeals Fees: </t>
  </si>
  <si>
    <t xml:space="preserve"> Excluded / Silent</t>
  </si>
  <si>
    <t xml:space="preserve"> Annual</t>
  </si>
  <si>
    <t>Direct</t>
  </si>
  <si>
    <t>Silent</t>
  </si>
  <si>
    <t>Billed Separate:</t>
  </si>
  <si>
    <t>Yes /</t>
  </si>
  <si>
    <t>No</t>
  </si>
  <si>
    <t>Cap:</t>
  </si>
  <si>
    <r>
      <rPr>
        <b/>
        <sz val="8"/>
        <rFont val="Arial"/>
        <family val="2"/>
      </rPr>
      <t>Initial Estimate:</t>
    </r>
    <r>
      <rPr>
        <sz val="8"/>
        <rFont val="Arial"/>
        <family val="2"/>
      </rPr>
      <t xml:space="preserve"> For the 1st year (08/18/2016 - 08/17/2017); $3.73/SF/annum</t>
    </r>
  </si>
  <si>
    <r>
      <rPr>
        <b/>
        <sz val="8"/>
        <rFont val="Arial"/>
        <family val="2"/>
      </rPr>
      <t>Payment:</t>
    </r>
    <r>
      <rPr>
        <sz val="8"/>
        <rFont val="Arial"/>
        <family val="2"/>
      </rPr>
      <t xml:space="preserve"> For any tax yr payable, if Tenant not received a bill therefor and the supporting</t>
    </r>
  </si>
  <si>
    <t>documentation at least 20 days prior to such time for payment, Tenant not required to make payment</t>
  </si>
  <si>
    <t>until 20 days after the receipt of such documentation.</t>
  </si>
  <si>
    <t>6.1, 10.3, 10.4, Sch A, Sch B, 10, 11</t>
  </si>
  <si>
    <t>INS</t>
  </si>
  <si>
    <t>(Insurance Method)</t>
  </si>
  <si>
    <t>All Risk / Liability (circle one or both)</t>
  </si>
  <si>
    <t>Service areas for calculate the prs to casualty insurance</t>
  </si>
  <si>
    <t xml:space="preserve"> Annual /</t>
  </si>
  <si>
    <t>Other:</t>
  </si>
  <si>
    <t xml:space="preserve">ASSNSUB </t>
  </si>
  <si>
    <t>(Assignment &amp; Sublet)</t>
  </si>
  <si>
    <t>No consent from LL required to assign or sublet the Premises. LL consent required to assign or sublet</t>
  </si>
  <si>
    <t>more than 25% of floor area. W/out permitting LL to terminate the Lease and W/out LL consent, Tenant</t>
  </si>
  <si>
    <t>may assign or sublet the Premises to its related party.</t>
  </si>
  <si>
    <t>Fee:</t>
  </si>
  <si>
    <t>Not addressed</t>
  </si>
  <si>
    <t xml:space="preserve">ALTERTN </t>
  </si>
  <si>
    <t>(Alteration Notes)</t>
  </si>
  <si>
    <t>LL's consent required for any alterations to the foundation, canopy, storefront, roof or exterior walls or</t>
  </si>
  <si>
    <t>otherwise that would affect the structural integrity of the Premises, except for any changes to the</t>
  </si>
  <si>
    <t>storefront inconsistent w/ the uniform architectural design if any of the SC.</t>
  </si>
  <si>
    <t xml:space="preserve">OPC </t>
  </si>
  <si>
    <t>(Operating Covenant)</t>
  </si>
  <si>
    <t>One day only</t>
  </si>
  <si>
    <t xml:space="preserve">GO DARK </t>
  </si>
  <si>
    <t>(Go Dark Option)</t>
  </si>
  <si>
    <t>If Premises after 1st anniversary of CD, is closed for business for any period of 60 consecutive days or</t>
  </si>
  <si>
    <t>more, LL may terminate the Lase by giving Tenant notice thereof and termination effective on the 30th day</t>
  </si>
  <si>
    <t>after the giving of such notice.</t>
  </si>
  <si>
    <t xml:space="preserve">LATECHG </t>
  </si>
  <si>
    <t>(Late Fee Notes)</t>
  </si>
  <si>
    <t>Interest: If any payment not received by more than 10 days after notice, interest shall accrue at an annual</t>
  </si>
  <si>
    <t>rate equal to base or prime rate by Bank of America plus 2% per year.</t>
  </si>
  <si>
    <t>13.1, 14.1</t>
  </si>
  <si>
    <t xml:space="preserve">DEFAULT </t>
  </si>
  <si>
    <t>(Default)</t>
  </si>
  <si>
    <t>Monetary:</t>
  </si>
  <si>
    <t>W/in 10 days after notice from LL</t>
  </si>
  <si>
    <t>Non-Monetary:</t>
  </si>
  <si>
    <t>W/in 30 days after notice from LL</t>
  </si>
  <si>
    <t xml:space="preserve">GUARANT </t>
  </si>
  <si>
    <t>(Guaranty)</t>
  </si>
  <si>
    <t xml:space="preserve">Sch A, Sch B, (1), 4(A) </t>
  </si>
  <si>
    <t xml:space="preserve">OTPRCL </t>
  </si>
  <si>
    <t xml:space="preserve">(Outparcel Restrictions) </t>
  </si>
  <si>
    <t>OUTPARCEL area shall not contain more than their presently existing amount of building floor area</t>
  </si>
  <si>
    <t>collectively and no building or sign thereon shall be more than its presently existing height above the</t>
  </si>
  <si>
    <t>ground except for architectural features which shall not exceed their presently existing height above the</t>
  </si>
  <si>
    <t>ground (except that the new building to be built on Unit 70 may have a height of 27 feet (including</t>
  </si>
  <si>
    <t>architectural elements) which is slight higher than the building it is replacing and shall have 4,500 Sq.ft of</t>
  </si>
  <si>
    <t>space. LL’s restriction shall not be applicable to the OUTPARCELS, except for the restrictions on noxious</t>
  </si>
  <si>
    <t>uses such as bars, nightclubs, discothèques, massage parlors, off-track betting clubs and the sale or</t>
  </si>
  <si>
    <t>display of pornographic materials. If Units 71, 72 and/or 74 are acquired by LL, then such units shall be</t>
  </si>
  <si>
    <t>deemed OUT PARCELS.</t>
  </si>
  <si>
    <t xml:space="preserve">PURCHSE </t>
  </si>
  <si>
    <t>(Purchase Option)</t>
  </si>
  <si>
    <t>DUES</t>
  </si>
  <si>
    <t>(Merchant’s Association)</t>
  </si>
  <si>
    <t xml:space="preserve">HOLDOVR </t>
  </si>
  <si>
    <t>(Holdover)</t>
  </si>
  <si>
    <t>After acceptance of rent by LL, MTM Tenancy at 115% of the last paid rent.</t>
  </si>
  <si>
    <t>Sch B, 3(A, C)</t>
  </si>
  <si>
    <t>PYLON</t>
  </si>
  <si>
    <t>(Pylon Sign)</t>
  </si>
  <si>
    <t>During the Term, Tenant has right to install &amp; maintain, identification panel, and appurtenances thereto,</t>
  </si>
  <si>
    <t>upon both sides of Pylon Sign and Tenant's location so-called "billing" thereon will be in the position</t>
  </si>
  <si>
    <t>shown on Sch I. The visibility of Tenant's panels on the Pylon Sign shall not be obstructed by landscaping</t>
  </si>
  <si>
    <t xml:space="preserve">ESTOPPEL </t>
  </si>
  <si>
    <t>(Estoppel)</t>
  </si>
  <si>
    <t>W/in 20 days after receipt of request from either party.</t>
  </si>
  <si>
    <t>16.1</t>
  </si>
  <si>
    <t xml:space="preserve">SUBORD </t>
  </si>
  <si>
    <t>(Subordination)</t>
  </si>
  <si>
    <t>Upon LL's request, Tenant will subordinate the lien of the lease to the lien of any future mortgage to a</t>
  </si>
  <si>
    <t>bank &amp; execute all instruments required.</t>
  </si>
  <si>
    <t xml:space="preserve">RELOCAT </t>
  </si>
  <si>
    <t>(Relocation)</t>
  </si>
  <si>
    <t xml:space="preserve">UTILITY </t>
  </si>
  <si>
    <t>(Utilities)</t>
  </si>
  <si>
    <t>Premises is connected to the electric, gas lines &amp; to the water and sewer system, serving the</t>
  </si>
  <si>
    <t>municipality &amp; separately metered except sprinkler water for Premises is separate from sprinkler water</t>
  </si>
  <si>
    <t xml:space="preserve">for other premises. </t>
  </si>
  <si>
    <t>HVAC</t>
  </si>
  <si>
    <t xml:space="preserve">(HVAC) </t>
  </si>
  <si>
    <t>HVAC CONTRACT REQUIRED</t>
  </si>
  <si>
    <t xml:space="preserve">Yes / </t>
  </si>
  <si>
    <t>See note</t>
  </si>
  <si>
    <t>Tenant maintains HVAC. If at any time during the last 5 yrs of term, Tenant makes repairs or replacement</t>
  </si>
  <si>
    <t>to HVAC but not included in a regular service and maintenance contract, Tenant shall reimburse LL upon</t>
  </si>
  <si>
    <t>demand, for an amount equal to the product of such excess cost multiplied by a fraction, the denominator</t>
  </si>
  <si>
    <t>of which is 120 (unless the repairs occur during an Extension Period, in which event the denominator</t>
  </si>
  <si>
    <t>shall be 60) and the numerator of which is 120 (or 60, as the case may be) minus the number of months</t>
  </si>
  <si>
    <t>between the date of the making of such repairs and replacements and the date of the termination of the</t>
  </si>
  <si>
    <t>term. Tenant shall also into an HVAC service and maintenance contract with a licensed and authorized</t>
  </si>
  <si>
    <t>HVAC contractor that will provide quarterly service and maintenance to the HVAC units, and provide a</t>
  </si>
  <si>
    <t>copy of such contract to LL.</t>
  </si>
  <si>
    <t>Other</t>
  </si>
  <si>
    <t>(Financials)</t>
  </si>
  <si>
    <t>8.2, Sch B, 7</t>
  </si>
  <si>
    <t>(LL Maintenance)</t>
  </si>
  <si>
    <t>LL maintain (i) keep or cause to be kept in good repair and condition the Pylon Sign and all Common Areas</t>
  </si>
  <si>
    <t>of the SC and all directional signs; (ii) The foundation, the roof, the exterior walls, the roof drainage</t>
  </si>
  <si>
    <t>system, the canopy, the structural parts of Premises, and, to the extent located w/in the walls, ceilings or</t>
  </si>
  <si>
    <t>floors of the Premises.</t>
  </si>
  <si>
    <t>Allowance</t>
  </si>
  <si>
    <t xml:space="preserve">Other </t>
  </si>
  <si>
    <t>Trash</t>
  </si>
  <si>
    <t>Tenant shall have the exclusive right to use certain service areas adjacent to the Premises which contain</t>
  </si>
  <si>
    <t>an exterior loading dock and trash storage area for Tenant's delivery and removal activities and for</t>
  </si>
  <si>
    <t>Tenant's compactor, dumpster and/or trash receptacles.</t>
  </si>
  <si>
    <t>Pest Control</t>
  </si>
  <si>
    <t>Hazardous Materials</t>
  </si>
  <si>
    <t>W/out limiting, it is understood and agreed that LL's Construction Work shall include removing any and all</t>
  </si>
  <si>
    <t>hazardous or toxic substances, waste or constituents including but not limited to any hydrocarbonic</t>
  </si>
  <si>
    <t>substances or asbestos containing materials from the Premises (including the roof)</t>
  </si>
  <si>
    <t>Promo</t>
  </si>
  <si>
    <t>Broker</t>
  </si>
  <si>
    <t>John Eliot of Cadence Capital Brokerage Services is a Named Broker. LL shall indemnify and hold</t>
  </si>
  <si>
    <t>harmless Tenant from and against all commissions, fees and expenses and claims therefore of or by the</t>
  </si>
  <si>
    <t>Named Brokers in connections w/in lease.</t>
  </si>
  <si>
    <t>Sch B (2)</t>
  </si>
  <si>
    <t>Parking</t>
  </si>
  <si>
    <t>LL agrees that the Parking Areas w/in SC will always contain at least 5 parking spaces for so-called</t>
  </si>
  <si>
    <t>standard size American automobiles (w/ a 10% allowance for compact cars), and driveways and</t>
  </si>
  <si>
    <t>footways incidental for each 1,000 Sq.ft of floor area for so-called standard size American automobiles,</t>
  </si>
  <si>
    <t>and driveways and footways incidental thereto, or such greater number of spaces as may be required</t>
  </si>
  <si>
    <t>by any applicable governmental regulation, code, special use or other zoning permit.</t>
  </si>
  <si>
    <t>INSURANCE INFORMATION</t>
  </si>
  <si>
    <r>
      <t>q</t>
    </r>
    <r>
      <rPr>
        <sz val="7"/>
        <rFont val="Times New Roman"/>
        <family val="1"/>
      </rPr>
      <t xml:space="preserve">       </t>
    </r>
    <r>
      <rPr>
        <sz val="10"/>
        <rFont val="Times New Roman"/>
        <family val="1"/>
      </rPr>
      <t>Standard Insurance Clause?</t>
    </r>
  </si>
  <si>
    <t>Section:</t>
  </si>
  <si>
    <t>Coverage</t>
  </si>
  <si>
    <t xml:space="preserve">Deductible </t>
  </si>
  <si>
    <t>Liability</t>
  </si>
  <si>
    <t>Property Damage</t>
  </si>
  <si>
    <t>All Risk</t>
  </si>
  <si>
    <t>Plate Glass</t>
  </si>
  <si>
    <t>Comments:</t>
  </si>
  <si>
    <t>If Tenant elects to maintain Commercial General Liability Insurance then LL as an additional</t>
  </si>
  <si>
    <t>Insured. Cancellation: 10 days notice.</t>
  </si>
  <si>
    <t xml:space="preserve">Common Area Escalations </t>
  </si>
  <si>
    <t>Admin Surcharge:</t>
  </si>
  <si>
    <t>Frequency of payment:</t>
  </si>
  <si>
    <t>Account</t>
  </si>
  <si>
    <t>Expense Categories</t>
  </si>
  <si>
    <t>Specifically Included</t>
  </si>
  <si>
    <t>Specifically Excluded</t>
  </si>
  <si>
    <t>Specific AdminCharge exceptions</t>
  </si>
  <si>
    <t>Payroll</t>
  </si>
  <si>
    <t>Employee benefits</t>
  </si>
  <si>
    <t>Health insurance</t>
  </si>
  <si>
    <t>Payroll services fees</t>
  </si>
  <si>
    <t>Payroll taxes</t>
  </si>
  <si>
    <t>Electric expense</t>
  </si>
  <si>
    <t>Electric interior</t>
  </si>
  <si>
    <t>Meter reading</t>
  </si>
  <si>
    <t>Utility Security/alarm</t>
  </si>
  <si>
    <t>Electric HVAC</t>
  </si>
  <si>
    <t>Oil/Gas expense</t>
  </si>
  <si>
    <t>Water expense</t>
  </si>
  <si>
    <t>Rubbish removal</t>
  </si>
  <si>
    <t>Food court rubbish removal</t>
  </si>
  <si>
    <t>Pest control</t>
  </si>
  <si>
    <t>Food court expense</t>
  </si>
  <si>
    <t>Security expense</t>
  </si>
  <si>
    <t>Security - interior</t>
  </si>
  <si>
    <t>Security other</t>
  </si>
  <si>
    <t>Fire alarms</t>
  </si>
  <si>
    <t>Landscaping</t>
  </si>
  <si>
    <t>Landscaping interior</t>
  </si>
  <si>
    <t>Snow removal</t>
  </si>
  <si>
    <t>Cleaning</t>
  </si>
  <si>
    <t>Food court cleaning</t>
  </si>
  <si>
    <t>Parking lot expenses</t>
  </si>
  <si>
    <t>Signs</t>
  </si>
  <si>
    <t>R&amp;M elevator</t>
  </si>
  <si>
    <t>R&amp;M plumbing</t>
  </si>
  <si>
    <t>R&amp;M electric</t>
  </si>
  <si>
    <t>R&amp;M HVAC</t>
  </si>
  <si>
    <t>R&amp;M Carpentry/Masonry</t>
  </si>
  <si>
    <t>R&amp;M painting</t>
  </si>
  <si>
    <t>R&amp;M carpeting</t>
  </si>
  <si>
    <t>R&amp;M roof</t>
  </si>
  <si>
    <t>R&amp;M parking lot</t>
  </si>
  <si>
    <t>R&amp;M – Grounds keeping</t>
  </si>
  <si>
    <t>R&amp;M – Other</t>
  </si>
  <si>
    <t>Professional expense</t>
  </si>
  <si>
    <t>Legal fees</t>
  </si>
  <si>
    <t>Accounting fees</t>
  </si>
  <si>
    <t>Other professional</t>
  </si>
  <si>
    <t>Telephone</t>
  </si>
  <si>
    <t>Travel and entertainment</t>
  </si>
  <si>
    <t>Admin</t>
  </si>
  <si>
    <t>Included</t>
  </si>
  <si>
    <t>Excluded</t>
  </si>
  <si>
    <t>Charge (%)</t>
  </si>
  <si>
    <t>Bank fees</t>
  </si>
  <si>
    <t>Equipment rental</t>
  </si>
  <si>
    <t>Dues and subscriptions</t>
  </si>
  <si>
    <t>Truck/Auto expenses</t>
  </si>
  <si>
    <t>Postage &amp; messenger service</t>
  </si>
  <si>
    <t>Office supplies</t>
  </si>
  <si>
    <t>Other administrative expenses</t>
  </si>
  <si>
    <t>Ground Rent</t>
  </si>
  <si>
    <t>Licenses and permits</t>
  </si>
  <si>
    <t>Insurance expense</t>
  </si>
  <si>
    <t>Management Fee expense</t>
  </si>
  <si>
    <t>Billable tenant electric</t>
  </si>
  <si>
    <t>Billable tenant gas</t>
  </si>
  <si>
    <t>Billable tenant water</t>
  </si>
  <si>
    <t>Billable tenant grease</t>
  </si>
  <si>
    <t>Billable tenant rubbish</t>
  </si>
  <si>
    <t>Billable tenant other</t>
  </si>
  <si>
    <t>Tenant work - labor</t>
  </si>
  <si>
    <t>Tenant work - HVAC</t>
  </si>
  <si>
    <t>Tenant work - plumbing</t>
  </si>
  <si>
    <t>Tenant work - rubbish</t>
  </si>
  <si>
    <t>Tenant work - roof</t>
  </si>
  <si>
    <t>Tenant work - security</t>
  </si>
  <si>
    <t>Tenant work - electric</t>
  </si>
  <si>
    <t>Tenant work - other</t>
  </si>
  <si>
    <t>Non-billable utilities</t>
  </si>
  <si>
    <t>Non billable electric</t>
  </si>
  <si>
    <t>Non-billable WWTP</t>
  </si>
  <si>
    <t>Non billable HVAC</t>
  </si>
  <si>
    <t>Non-billable repairs &amp; maintenance</t>
  </si>
  <si>
    <t>Bad debt expense</t>
  </si>
  <si>
    <t>Advertising - leasing</t>
  </si>
  <si>
    <t>Advertising - signs</t>
  </si>
  <si>
    <t>Advertising - other</t>
  </si>
  <si>
    <t>Real estate tax expense</t>
  </si>
  <si>
    <t>Use and occupancy tax</t>
  </si>
  <si>
    <t>Other taxes</t>
  </si>
  <si>
    <t>Depreciation expense - furniture &amp; fixtures</t>
  </si>
  <si>
    <t>Amortization expense - tenant improvements</t>
  </si>
  <si>
    <t>Amortization expense - deferred mortgage cost</t>
  </si>
  <si>
    <t>Amortization expense - deferred leasing commissions</t>
  </si>
  <si>
    <t>Amortization expense - deferred legal expense</t>
  </si>
  <si>
    <t>Amortization expense -furniture and fixtures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</si>
</sst>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6" formatCode="&quot;$&quot;#,##0_);[Red]\(&quot;$&quot;#,##0\)"/>
    <numFmt numFmtId="8" formatCode="&quot;$&quot;#,##0.00_);[Red]\(&quot;$&quot;#,##0.00\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* #,##0_);_(* \(#,##0\);_(* &quot;-&quot;??_);_(@_)"/>
    <numFmt numFmtId="165" formatCode="mm/dd"/>
  </numFmts>
  <fonts count="3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Times New Roman"/>
      <family val="1"/>
    </font>
    <font>
      <sz val="9"/>
      <name val="Arial"/>
      <family val="2"/>
    </font>
    <font>
      <sz val="8"/>
      <name val="Arial"/>
      <family val="2"/>
    </font>
    <font>
      <b/>
      <i/>
      <u/>
      <sz val="10"/>
      <name val="Times New Roman"/>
      <family val="1"/>
    </font>
    <font>
      <i/>
      <u/>
      <sz val="10"/>
      <name val="Times New Roman"/>
      <family val="1"/>
    </font>
    <font>
      <b/>
      <u/>
      <sz val="10"/>
      <name val="Times New Roman"/>
      <family val="1"/>
    </font>
    <font>
      <sz val="11"/>
      <name val="Times New Roman"/>
      <family val="1"/>
    </font>
    <font>
      <sz val="11"/>
      <name val="Calibri"/>
      <family val="2"/>
      <scheme val="minor"/>
    </font>
    <font>
      <i/>
      <u/>
      <sz val="8"/>
      <name val="Times New Roman"/>
      <family val="1"/>
    </font>
    <font>
      <u/>
      <sz val="10"/>
      <name val="Arial"/>
      <family val="2"/>
    </font>
    <font>
      <sz val="7"/>
      <name val="Times New Roman"/>
      <family val="1"/>
    </font>
    <font>
      <sz val="7"/>
      <name val="Arial"/>
      <family val="2"/>
    </font>
    <font>
      <sz val="8"/>
      <name val="Times New Roman"/>
      <family val="1"/>
    </font>
    <font>
      <b/>
      <sz val="10"/>
      <name val="Times New Roman"/>
      <family val="1"/>
    </font>
    <font>
      <u/>
      <sz val="8"/>
      <name val="Arial"/>
      <family val="2"/>
    </font>
    <font>
      <strike/>
      <sz val="10"/>
      <name val="Cambria"/>
      <family val="1"/>
    </font>
    <font>
      <u/>
      <sz val="10"/>
      <name val="Times New Roman"/>
      <family val="1"/>
    </font>
    <font>
      <b/>
      <sz val="10"/>
      <name val="Arial"/>
      <family val="2"/>
    </font>
    <font>
      <b/>
      <u/>
      <sz val="8"/>
      <name val="Arial"/>
      <family val="2"/>
    </font>
    <font>
      <b/>
      <sz val="12"/>
      <name val="Times New Roman"/>
      <family val="1"/>
    </font>
    <font>
      <u/>
      <sz val="10"/>
      <color indexed="10"/>
      <name val="Times New Roman"/>
      <family val="1"/>
    </font>
    <font>
      <sz val="9"/>
      <name val="Times New Roman"/>
      <family val="1"/>
    </font>
    <font>
      <sz val="12"/>
      <name val="Times New Roman"/>
      <family val="1"/>
    </font>
    <font>
      <u/>
      <sz val="12"/>
      <name val="Times New Roman"/>
      <family val="1"/>
    </font>
    <font>
      <b/>
      <sz val="8"/>
      <name val="Arial"/>
      <family val="2"/>
    </font>
    <font>
      <sz val="8"/>
      <name val="Wingdings"/>
      <charset val="2"/>
    </font>
    <font>
      <sz val="6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medium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auto="1"/>
      </top>
      <bottom/>
      <diagonal/>
    </border>
    <border>
      <left/>
      <right/>
      <top style="medium">
        <color auto="1"/>
      </top>
      <bottom style="medium">
        <color auto="1"/>
      </bottom>
      <diagonal/>
    </border>
  </borders>
  <cellStyleXfs count="8">
    <xf numFmtId="0" fontId="0" fillId="0" borderId="0"/>
    <xf numFmtId="0" fontId="2" fillId="0" borderId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1" fillId="0" borderId="0"/>
    <xf numFmtId="44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2" fillId="0" borderId="0" applyFont="0" applyFill="0" applyBorder="0" applyAlignment="0" applyProtection="0"/>
  </cellStyleXfs>
  <cellXfs count="232">
    <xf numFmtId="0" fontId="0" fillId="0" borderId="0" xfId="0"/>
    <xf numFmtId="0" fontId="3" fillId="2" borderId="0" xfId="1" applyFont="1" applyFill="1"/>
    <xf numFmtId="0" fontId="2" fillId="2" borderId="0" xfId="1" applyFill="1"/>
    <xf numFmtId="0" fontId="2" fillId="0" borderId="0" xfId="1"/>
    <xf numFmtId="0" fontId="2" fillId="3" borderId="1" xfId="1" applyFill="1" applyBorder="1"/>
    <xf numFmtId="0" fontId="3" fillId="3" borderId="0" xfId="1" applyFont="1" applyFill="1"/>
    <xf numFmtId="0" fontId="2" fillId="3" borderId="1" xfId="1" applyFill="1" applyBorder="1" applyAlignment="1">
      <alignment wrapText="1"/>
    </xf>
    <xf numFmtId="0" fontId="2" fillId="3" borderId="0" xfId="1" applyFill="1"/>
    <xf numFmtId="0" fontId="4" fillId="3" borderId="1" xfId="1" quotePrefix="1" applyFont="1" applyFill="1" applyBorder="1" applyAlignment="1">
      <alignment horizontal="center" wrapText="1"/>
    </xf>
    <xf numFmtId="0" fontId="2" fillId="3" borderId="1" xfId="1" applyFill="1" applyBorder="1"/>
    <xf numFmtId="3" fontId="2" fillId="3" borderId="1" xfId="1" applyNumberFormat="1" applyFill="1" applyBorder="1" applyAlignment="1">
      <alignment horizontal="center"/>
    </xf>
    <xf numFmtId="0" fontId="5" fillId="3" borderId="0" xfId="1" applyFont="1" applyFill="1"/>
    <xf numFmtId="164" fontId="5" fillId="3" borderId="0" xfId="2" applyNumberFormat="1" applyFont="1" applyFill="1"/>
    <xf numFmtId="3" fontId="2" fillId="3" borderId="0" xfId="1" applyNumberFormat="1" applyFill="1"/>
    <xf numFmtId="0" fontId="6" fillId="2" borderId="0" xfId="1" applyFont="1" applyFill="1"/>
    <xf numFmtId="0" fontId="3" fillId="0" borderId="1" xfId="1" applyFont="1" applyBorder="1"/>
    <xf numFmtId="0" fontId="3" fillId="0" borderId="1" xfId="1" applyFont="1" applyBorder="1" applyAlignment="1">
      <alignment wrapText="1"/>
    </xf>
    <xf numFmtId="0" fontId="3" fillId="0" borderId="1" xfId="1" applyFont="1" applyBorder="1"/>
    <xf numFmtId="0" fontId="8" fillId="2" borderId="0" xfId="1" applyFont="1" applyFill="1"/>
    <xf numFmtId="14" fontId="2" fillId="2" borderId="0" xfId="1" applyNumberFormat="1" applyFill="1"/>
    <xf numFmtId="0" fontId="2" fillId="2" borderId="1" xfId="1" applyFill="1" applyBorder="1"/>
    <xf numFmtId="0" fontId="3" fillId="2" borderId="0" xfId="1" applyFont="1" applyFill="1" applyAlignment="1">
      <alignment horizontal="right"/>
    </xf>
    <xf numFmtId="0" fontId="2" fillId="2" borderId="1" xfId="1" applyFill="1" applyBorder="1" applyAlignment="1">
      <alignment horizontal="right"/>
    </xf>
    <xf numFmtId="0" fontId="9" fillId="2" borderId="0" xfId="1" applyFont="1" applyFill="1"/>
    <xf numFmtId="164" fontId="10" fillId="2" borderId="1" xfId="3" applyNumberFormat="1" applyFont="1" applyFill="1" applyBorder="1" applyAlignment="1"/>
    <xf numFmtId="0" fontId="8" fillId="2" borderId="2" xfId="1" applyFont="1" applyFill="1" applyBorder="1"/>
    <xf numFmtId="0" fontId="2" fillId="2" borderId="2" xfId="1" applyFill="1" applyBorder="1"/>
    <xf numFmtId="0" fontId="12" fillId="2" borderId="0" xfId="1" applyFont="1" applyFill="1" applyAlignment="1">
      <alignment horizontal="center"/>
    </xf>
    <xf numFmtId="0" fontId="2" fillId="2" borderId="0" xfId="1" applyFill="1" applyAlignment="1">
      <alignment horizontal="center"/>
    </xf>
    <xf numFmtId="14" fontId="2" fillId="3" borderId="1" xfId="1" quotePrefix="1" applyNumberFormat="1" applyFill="1" applyBorder="1" applyAlignment="1">
      <alignment horizontal="center"/>
    </xf>
    <xf numFmtId="14" fontId="2" fillId="3" borderId="1" xfId="1" applyNumberFormat="1" applyFill="1" applyBorder="1" applyAlignment="1">
      <alignment horizontal="center"/>
    </xf>
    <xf numFmtId="0" fontId="13" fillId="3" borderId="0" xfId="1" applyFont="1" applyFill="1"/>
    <xf numFmtId="0" fontId="2" fillId="3" borderId="1" xfId="1" applyFill="1" applyBorder="1" applyAlignment="1">
      <alignment horizontal="center"/>
    </xf>
    <xf numFmtId="0" fontId="14" fillId="3" borderId="0" xfId="1" applyFont="1" applyFill="1"/>
    <xf numFmtId="0" fontId="4" fillId="3" borderId="0" xfId="1" applyFont="1" applyFill="1"/>
    <xf numFmtId="14" fontId="15" fillId="0" borderId="0" xfId="1" applyNumberFormat="1" applyFont="1"/>
    <xf numFmtId="0" fontId="15" fillId="3" borderId="0" xfId="1" applyFont="1" applyFill="1"/>
    <xf numFmtId="0" fontId="2" fillId="3" borderId="0" xfId="1" applyFill="1"/>
    <xf numFmtId="14" fontId="2" fillId="0" borderId="0" xfId="1" applyNumberFormat="1"/>
    <xf numFmtId="14" fontId="15" fillId="2" borderId="0" xfId="1" applyNumberFormat="1" applyFont="1" applyFill="1"/>
    <xf numFmtId="0" fontId="2" fillId="3" borderId="3" xfId="1" applyFill="1" applyBorder="1"/>
    <xf numFmtId="14" fontId="2" fillId="3" borderId="0" xfId="1" quotePrefix="1" applyNumberFormat="1" applyFill="1" applyAlignment="1">
      <alignment horizontal="center"/>
    </xf>
    <xf numFmtId="14" fontId="2" fillId="3" borderId="0" xfId="1" applyNumberFormat="1" applyFill="1" applyAlignment="1">
      <alignment horizontal="center"/>
    </xf>
    <xf numFmtId="0" fontId="6" fillId="0" borderId="2" xfId="1" applyFont="1" applyBorder="1"/>
    <xf numFmtId="0" fontId="3" fillId="0" borderId="2" xfId="1" applyFont="1" applyBorder="1"/>
    <xf numFmtId="0" fontId="2" fillId="0" borderId="2" xfId="1" applyBorder="1"/>
    <xf numFmtId="0" fontId="3" fillId="0" borderId="0" xfId="1" applyFont="1"/>
    <xf numFmtId="0" fontId="3" fillId="0" borderId="1" xfId="1" applyFont="1" applyBorder="1" applyAlignment="1">
      <alignment horizontal="center"/>
    </xf>
    <xf numFmtId="0" fontId="15" fillId="0" borderId="0" xfId="4" applyFont="1"/>
    <xf numFmtId="0" fontId="3" fillId="0" borderId="3" xfId="1" applyFont="1" applyBorder="1"/>
    <xf numFmtId="0" fontId="3" fillId="0" borderId="0" xfId="1" applyFont="1" applyAlignment="1">
      <alignment horizontal="right"/>
    </xf>
    <xf numFmtId="0" fontId="3" fillId="0" borderId="3" xfId="1" applyFont="1" applyBorder="1" applyAlignment="1">
      <alignment horizontal="center"/>
    </xf>
    <xf numFmtId="49" fontId="3" fillId="0" borderId="3" xfId="1" quotePrefix="1" applyNumberFormat="1" applyFont="1" applyBorder="1" applyAlignment="1">
      <alignment horizontal="center"/>
    </xf>
    <xf numFmtId="0" fontId="3" fillId="0" borderId="0" xfId="1" applyFont="1" applyAlignment="1">
      <alignment horizontal="center"/>
    </xf>
    <xf numFmtId="49" fontId="3" fillId="0" borderId="0" xfId="1" quotePrefix="1" applyNumberFormat="1" applyFont="1" applyAlignment="1">
      <alignment horizontal="center"/>
    </xf>
    <xf numFmtId="49" fontId="3" fillId="0" borderId="0" xfId="1" applyNumberFormat="1" applyFont="1" applyAlignment="1">
      <alignment horizontal="center"/>
    </xf>
    <xf numFmtId="0" fontId="3" fillId="0" borderId="3" xfId="4" applyFont="1" applyBorder="1"/>
    <xf numFmtId="0" fontId="3" fillId="0" borderId="4" xfId="1" applyFont="1" applyBorder="1" applyAlignment="1">
      <alignment horizontal="right"/>
    </xf>
    <xf numFmtId="0" fontId="8" fillId="0" borderId="2" xfId="1" applyFont="1" applyBorder="1"/>
    <xf numFmtId="0" fontId="2" fillId="0" borderId="0" xfId="1" applyAlignment="1">
      <alignment horizontal="center"/>
    </xf>
    <xf numFmtId="0" fontId="16" fillId="0" borderId="0" xfId="1" applyFont="1"/>
    <xf numFmtId="14" fontId="2" fillId="0" borderId="5" xfId="1" applyNumberFormat="1" applyBorder="1" applyAlignment="1">
      <alignment horizontal="center"/>
    </xf>
    <xf numFmtId="0" fontId="2" fillId="0" borderId="5" xfId="1" applyBorder="1" applyAlignment="1">
      <alignment horizontal="center"/>
    </xf>
    <xf numFmtId="0" fontId="2" fillId="0" borderId="5" xfId="1" applyBorder="1" applyAlignment="1">
      <alignment horizontal="center" wrapText="1"/>
    </xf>
    <xf numFmtId="3" fontId="2" fillId="0" borderId="5" xfId="1" applyNumberFormat="1" applyBorder="1" applyAlignment="1">
      <alignment horizontal="center"/>
    </xf>
    <xf numFmtId="44" fontId="2" fillId="0" borderId="5" xfId="5" applyFont="1" applyFill="1" applyBorder="1" applyAlignment="1">
      <alignment horizontal="center" vertical="center"/>
    </xf>
    <xf numFmtId="44" fontId="10" fillId="0" borderId="6" xfId="5" quotePrefix="1" applyFont="1" applyFill="1" applyBorder="1" applyAlignment="1">
      <alignment horizontal="center" wrapText="1"/>
    </xf>
    <xf numFmtId="14" fontId="2" fillId="0" borderId="0" xfId="1" applyNumberFormat="1" applyAlignment="1">
      <alignment horizontal="center"/>
    </xf>
    <xf numFmtId="0" fontId="2" fillId="0" borderId="0" xfId="1" applyAlignment="1">
      <alignment horizontal="center" wrapText="1"/>
    </xf>
    <xf numFmtId="3" fontId="2" fillId="0" borderId="0" xfId="1" applyNumberFormat="1" applyAlignment="1">
      <alignment horizontal="center"/>
    </xf>
    <xf numFmtId="44" fontId="10" fillId="0" borderId="0" xfId="5" quotePrefix="1" applyFont="1" applyFill="1" applyBorder="1" applyAlignment="1">
      <alignment vertical="top" wrapText="1"/>
    </xf>
    <xf numFmtId="44" fontId="10" fillId="0" borderId="0" xfId="5" quotePrefix="1" applyFont="1" applyFill="1" applyBorder="1" applyAlignment="1">
      <alignment wrapText="1"/>
    </xf>
    <xf numFmtId="0" fontId="5" fillId="0" borderId="1" xfId="1" applyFont="1" applyBorder="1"/>
    <xf numFmtId="0" fontId="2" fillId="0" borderId="1" xfId="1" applyBorder="1"/>
    <xf numFmtId="0" fontId="2" fillId="0" borderId="0" xfId="6" applyNumberFormat="1" applyFont="1" applyFill="1" applyBorder="1"/>
    <xf numFmtId="44" fontId="2" fillId="0" borderId="0" xfId="6" applyFont="1" applyFill="1"/>
    <xf numFmtId="0" fontId="5" fillId="0" borderId="3" xfId="4" applyFont="1" applyBorder="1"/>
    <xf numFmtId="0" fontId="2" fillId="0" borderId="3" xfId="4" applyFont="1" applyBorder="1"/>
    <xf numFmtId="0" fontId="17" fillId="0" borderId="0" xfId="1" applyFont="1"/>
    <xf numFmtId="0" fontId="5" fillId="0" borderId="0" xfId="1" applyFont="1"/>
    <xf numFmtId="0" fontId="2" fillId="0" borderId="0" xfId="6" applyNumberFormat="1" applyFont="1" applyFill="1"/>
    <xf numFmtId="0" fontId="3" fillId="0" borderId="0" xfId="1" applyFont="1" applyAlignment="1">
      <alignment horizontal="center"/>
    </xf>
    <xf numFmtId="0" fontId="18" fillId="0" borderId="0" xfId="1" applyFont="1" applyAlignment="1">
      <alignment horizontal="center"/>
    </xf>
    <xf numFmtId="0" fontId="2" fillId="0" borderId="0" xfId="1" applyAlignment="1">
      <alignment horizontal="center"/>
    </xf>
    <xf numFmtId="14" fontId="3" fillId="3" borderId="5" xfId="1" applyNumberFormat="1" applyFont="1" applyFill="1" applyBorder="1" applyAlignment="1">
      <alignment horizontal="center"/>
    </xf>
    <xf numFmtId="44" fontId="3" fillId="3" borderId="5" xfId="5" applyFont="1" applyFill="1" applyBorder="1"/>
    <xf numFmtId="44" fontId="3" fillId="3" borderId="6" xfId="5" applyFont="1" applyFill="1" applyBorder="1" applyAlignment="1"/>
    <xf numFmtId="44" fontId="3" fillId="3" borderId="7" xfId="5" applyFont="1" applyFill="1" applyBorder="1" applyAlignment="1"/>
    <xf numFmtId="44" fontId="3" fillId="3" borderId="5" xfId="5" applyFont="1" applyFill="1" applyBorder="1" applyAlignment="1"/>
    <xf numFmtId="164" fontId="3" fillId="3" borderId="5" xfId="2" applyNumberFormat="1" applyFont="1" applyFill="1" applyBorder="1" applyAlignment="1">
      <alignment horizontal="center"/>
    </xf>
    <xf numFmtId="0" fontId="3" fillId="3" borderId="5" xfId="1" applyFont="1" applyFill="1" applyBorder="1" applyAlignment="1">
      <alignment horizontal="center"/>
    </xf>
    <xf numFmtId="0" fontId="5" fillId="0" borderId="0" xfId="4" applyFont="1"/>
    <xf numFmtId="14" fontId="3" fillId="3" borderId="0" xfId="1" applyNumberFormat="1" applyFont="1" applyFill="1" applyAlignment="1">
      <alignment horizontal="center"/>
    </xf>
    <xf numFmtId="44" fontId="3" fillId="3" borderId="0" xfId="5" applyFont="1" applyFill="1" applyBorder="1"/>
    <xf numFmtId="44" fontId="3" fillId="3" borderId="0" xfId="5" applyFont="1" applyFill="1" applyBorder="1" applyAlignment="1"/>
    <xf numFmtId="164" fontId="3" fillId="3" borderId="0" xfId="2" applyNumberFormat="1" applyFont="1" applyFill="1" applyBorder="1" applyAlignment="1">
      <alignment horizontal="center"/>
    </xf>
    <xf numFmtId="0" fontId="3" fillId="3" borderId="0" xfId="1" applyFont="1" applyFill="1" applyAlignment="1">
      <alignment horizontal="center"/>
    </xf>
    <xf numFmtId="44" fontId="5" fillId="0" borderId="0" xfId="5" applyFont="1" applyFill="1" applyBorder="1"/>
    <xf numFmtId="0" fontId="3" fillId="0" borderId="0" xfId="1" applyFont="1" applyAlignment="1">
      <alignment horizontal="center" wrapText="1"/>
    </xf>
    <xf numFmtId="14" fontId="3" fillId="0" borderId="5" xfId="1" applyNumberFormat="1" applyFont="1" applyBorder="1" applyAlignment="1">
      <alignment horizontal="center"/>
    </xf>
    <xf numFmtId="44" fontId="3" fillId="0" borderId="5" xfId="5" quotePrefix="1" applyFont="1" applyFill="1" applyBorder="1" applyAlignment="1">
      <alignment horizontal="center"/>
    </xf>
    <xf numFmtId="44" fontId="3" fillId="0" borderId="5" xfId="5" quotePrefix="1" applyFont="1" applyFill="1" applyBorder="1" applyAlignment="1">
      <alignment horizontal="center"/>
    </xf>
    <xf numFmtId="44" fontId="3" fillId="0" borderId="5" xfId="5" applyFont="1" applyFill="1" applyBorder="1" applyAlignment="1">
      <alignment horizontal="center"/>
    </xf>
    <xf numFmtId="44" fontId="3" fillId="0" borderId="5" xfId="5" applyFont="1" applyFill="1" applyBorder="1" applyAlignment="1"/>
    <xf numFmtId="0" fontId="2" fillId="0" borderId="5" xfId="1" applyBorder="1"/>
    <xf numFmtId="44" fontId="2" fillId="0" borderId="5" xfId="1" applyNumberFormat="1" applyBorder="1" applyAlignment="1">
      <alignment horizontal="center"/>
    </xf>
    <xf numFmtId="0" fontId="5" fillId="0" borderId="8" xfId="1" applyFont="1" applyBorder="1" applyAlignment="1">
      <alignment vertical="top" wrapText="1"/>
    </xf>
    <xf numFmtId="8" fontId="2" fillId="0" borderId="0" xfId="1" applyNumberFormat="1"/>
    <xf numFmtId="44" fontId="2" fillId="0" borderId="0" xfId="1" applyNumberFormat="1"/>
    <xf numFmtId="0" fontId="3" fillId="0" borderId="4" xfId="1" applyFont="1" applyBorder="1" applyAlignment="1">
      <alignment horizontal="center" wrapText="1"/>
    </xf>
    <xf numFmtId="14" fontId="3" fillId="0" borderId="4" xfId="1" applyNumberFormat="1" applyFont="1" applyBorder="1" applyAlignment="1">
      <alignment horizontal="center"/>
    </xf>
    <xf numFmtId="44" fontId="3" fillId="0" borderId="4" xfId="5" quotePrefix="1" applyFont="1" applyFill="1" applyBorder="1" applyAlignment="1">
      <alignment horizontal="center"/>
    </xf>
    <xf numFmtId="44" fontId="3" fillId="0" borderId="4" xfId="5" applyFont="1" applyFill="1" applyBorder="1" applyAlignment="1">
      <alignment horizontal="center"/>
    </xf>
    <xf numFmtId="44" fontId="3" fillId="0" borderId="4" xfId="5" applyFont="1" applyFill="1" applyBorder="1" applyAlignment="1"/>
    <xf numFmtId="0" fontId="2" fillId="0" borderId="4" xfId="1" applyBorder="1"/>
    <xf numFmtId="44" fontId="2" fillId="0" borderId="4" xfId="1" applyNumberFormat="1" applyBorder="1" applyAlignment="1">
      <alignment horizontal="center"/>
    </xf>
    <xf numFmtId="0" fontId="8" fillId="0" borderId="0" xfId="1" applyFont="1"/>
    <xf numFmtId="0" fontId="20" fillId="0" borderId="0" xfId="1" applyFont="1"/>
    <xf numFmtId="0" fontId="15" fillId="0" borderId="0" xfId="1" applyFont="1" applyAlignment="1">
      <alignment horizontal="right"/>
    </xf>
    <xf numFmtId="0" fontId="5" fillId="0" borderId="0" xfId="1" applyFont="1" applyAlignment="1">
      <alignment horizontal="right"/>
    </xf>
    <xf numFmtId="0" fontId="5" fillId="0" borderId="1" xfId="1" applyFont="1" applyBorder="1" applyAlignment="1">
      <alignment horizontal="center"/>
    </xf>
    <xf numFmtId="0" fontId="21" fillId="0" borderId="0" xfId="1" applyFont="1"/>
    <xf numFmtId="0" fontId="2" fillId="0" borderId="1" xfId="1" applyBorder="1" applyAlignment="1">
      <alignment horizontal="center"/>
    </xf>
    <xf numFmtId="0" fontId="13" fillId="0" borderId="0" xfId="1" applyFont="1"/>
    <xf numFmtId="165" fontId="3" fillId="0" borderId="1" xfId="1" applyNumberFormat="1" applyFont="1" applyBorder="1" applyAlignment="1">
      <alignment horizontal="center"/>
    </xf>
    <xf numFmtId="0" fontId="22" fillId="0" borderId="0" xfId="1" applyFont="1"/>
    <xf numFmtId="0" fontId="20" fillId="0" borderId="2" xfId="1" applyFont="1" applyBorder="1"/>
    <xf numFmtId="0" fontId="16" fillId="0" borderId="0" xfId="1" applyFont="1" applyAlignment="1">
      <alignment horizontal="left"/>
    </xf>
    <xf numFmtId="0" fontId="19" fillId="0" borderId="0" xfId="1" applyFont="1"/>
    <xf numFmtId="0" fontId="19" fillId="0" borderId="1" xfId="1" applyFont="1" applyBorder="1"/>
    <xf numFmtId="0" fontId="5" fillId="0" borderId="1" xfId="1" applyFont="1" applyBorder="1"/>
    <xf numFmtId="0" fontId="24" fillId="0" borderId="1" xfId="1" applyFont="1" applyBorder="1" applyAlignment="1">
      <alignment horizontal="center"/>
    </xf>
    <xf numFmtId="0" fontId="3" fillId="0" borderId="1" xfId="1" applyFont="1" applyBorder="1" applyAlignment="1">
      <alignment horizontal="center"/>
    </xf>
    <xf numFmtId="9" fontId="3" fillId="0" borderId="3" xfId="7" applyFont="1" applyFill="1" applyBorder="1" applyAlignment="1">
      <alignment horizontal="center"/>
    </xf>
    <xf numFmtId="8" fontId="3" fillId="3" borderId="5" xfId="1" applyNumberFormat="1" applyFont="1" applyFill="1" applyBorder="1" applyAlignment="1">
      <alignment horizontal="center"/>
    </xf>
    <xf numFmtId="9" fontId="3" fillId="3" borderId="0" xfId="1" applyNumberFormat="1" applyFont="1" applyFill="1" applyAlignment="1">
      <alignment horizontal="center"/>
    </xf>
    <xf numFmtId="8" fontId="3" fillId="3" borderId="3" xfId="1" applyNumberFormat="1" applyFont="1" applyFill="1" applyBorder="1" applyAlignment="1">
      <alignment horizontal="center"/>
    </xf>
    <xf numFmtId="0" fontId="24" fillId="0" borderId="0" xfId="1" applyFont="1" applyAlignment="1">
      <alignment horizontal="center"/>
    </xf>
    <xf numFmtId="0" fontId="24" fillId="0" borderId="1" xfId="1" applyFont="1" applyBorder="1"/>
    <xf numFmtId="0" fontId="24" fillId="0" borderId="1" xfId="1" applyFont="1" applyBorder="1" applyAlignment="1">
      <alignment horizontal="center"/>
    </xf>
    <xf numFmtId="0" fontId="25" fillId="0" borderId="1" xfId="1" applyFont="1" applyBorder="1" applyAlignment="1">
      <alignment horizontal="center"/>
    </xf>
    <xf numFmtId="0" fontId="26" fillId="0" borderId="1" xfId="1" applyFont="1" applyBorder="1" applyAlignment="1">
      <alignment horizontal="center"/>
    </xf>
    <xf numFmtId="0" fontId="3" fillId="0" borderId="1" xfId="4" applyFont="1" applyBorder="1" applyAlignment="1">
      <alignment horizontal="center"/>
    </xf>
    <xf numFmtId="0" fontId="5" fillId="0" borderId="0" xfId="1" applyFont="1" applyAlignment="1">
      <alignment horizontal="left" vertical="top"/>
    </xf>
    <xf numFmtId="0" fontId="3" fillId="0" borderId="1" xfId="4" applyFont="1" applyBorder="1" applyAlignment="1">
      <alignment horizontal="center" wrapText="1"/>
    </xf>
    <xf numFmtId="0" fontId="5" fillId="0" borderId="1" xfId="4" applyFont="1" applyBorder="1" applyAlignment="1">
      <alignment horizontal="left"/>
    </xf>
    <xf numFmtId="0" fontId="3" fillId="0" borderId="1" xfId="1" quotePrefix="1" applyFont="1" applyBorder="1" applyAlignment="1">
      <alignment horizontal="center" wrapText="1"/>
    </xf>
    <xf numFmtId="0" fontId="3" fillId="0" borderId="0" xfId="1" quotePrefix="1" applyFont="1" applyAlignment="1">
      <alignment horizontal="center"/>
    </xf>
    <xf numFmtId="0" fontId="15" fillId="0" borderId="0" xfId="1" applyFont="1"/>
    <xf numFmtId="0" fontId="3" fillId="0" borderId="0" xfId="4" applyFont="1"/>
    <xf numFmtId="0" fontId="2" fillId="0" borderId="0" xfId="4" applyFont="1"/>
    <xf numFmtId="0" fontId="5" fillId="0" borderId="1" xfId="4" applyFont="1" applyBorder="1"/>
    <xf numFmtId="0" fontId="3" fillId="0" borderId="0" xfId="4" applyFont="1" applyAlignment="1">
      <alignment horizontal="center"/>
    </xf>
    <xf numFmtId="0" fontId="5" fillId="0" borderId="3" xfId="1" applyFont="1" applyBorder="1" applyAlignment="1">
      <alignment horizontal="left"/>
    </xf>
    <xf numFmtId="0" fontId="5" fillId="0" borderId="3" xfId="1" applyFont="1" applyBorder="1"/>
    <xf numFmtId="0" fontId="3" fillId="0" borderId="1" xfId="1" quotePrefix="1" applyFont="1" applyBorder="1" applyAlignment="1">
      <alignment horizontal="center"/>
    </xf>
    <xf numFmtId="0" fontId="15" fillId="0" borderId="1" xfId="1" applyFont="1" applyBorder="1" applyAlignment="1">
      <alignment horizontal="center" wrapText="1"/>
    </xf>
    <xf numFmtId="0" fontId="13" fillId="3" borderId="1" xfId="4" applyFont="1" applyFill="1" applyBorder="1" applyAlignment="1">
      <alignment horizontal="center" wrapText="1"/>
    </xf>
    <xf numFmtId="0" fontId="5" fillId="3" borderId="1" xfId="4" applyFont="1" applyFill="1" applyBorder="1"/>
    <xf numFmtId="0" fontId="5" fillId="3" borderId="1" xfId="1" applyFont="1" applyFill="1" applyBorder="1"/>
    <xf numFmtId="0" fontId="3" fillId="0" borderId="0" xfId="1" quotePrefix="1" applyFont="1" applyAlignment="1">
      <alignment horizontal="center" wrapText="1"/>
    </xf>
    <xf numFmtId="0" fontId="3" fillId="0" borderId="0" xfId="1" applyFont="1" applyAlignment="1">
      <alignment horizontal="center" wrapText="1"/>
    </xf>
    <xf numFmtId="0" fontId="3" fillId="0" borderId="1" xfId="1" applyFont="1" applyBorder="1" applyAlignment="1">
      <alignment horizontal="center" wrapText="1"/>
    </xf>
    <xf numFmtId="0" fontId="3" fillId="0" borderId="0" xfId="4" applyFont="1" applyAlignment="1">
      <alignment horizontal="center" wrapText="1"/>
    </xf>
    <xf numFmtId="10" fontId="27" fillId="3" borderId="1" xfId="1" applyNumberFormat="1" applyFont="1" applyFill="1" applyBorder="1" applyAlignment="1">
      <alignment wrapText="1"/>
    </xf>
    <xf numFmtId="0" fontId="27" fillId="3" borderId="1" xfId="1" applyFont="1" applyFill="1" applyBorder="1" applyAlignment="1">
      <alignment wrapText="1"/>
    </xf>
    <xf numFmtId="10" fontId="5" fillId="0" borderId="1" xfId="1" applyNumberFormat="1" applyFont="1" applyBorder="1" applyAlignment="1">
      <alignment horizontal="left" wrapText="1"/>
    </xf>
    <xf numFmtId="0" fontId="3" fillId="0" borderId="1" xfId="4" applyFont="1" applyBorder="1" applyAlignment="1">
      <alignment horizontal="center" wrapText="1"/>
    </xf>
    <xf numFmtId="10" fontId="5" fillId="0" borderId="3" xfId="1" applyNumberFormat="1" applyFont="1" applyBorder="1"/>
    <xf numFmtId="9" fontId="5" fillId="0" borderId="3" xfId="1" applyNumberFormat="1" applyFont="1" applyBorder="1" applyAlignment="1">
      <alignment horizontal="left"/>
    </xf>
    <xf numFmtId="0" fontId="5" fillId="0" borderId="9" xfId="1" applyFont="1" applyBorder="1" applyAlignment="1">
      <alignment horizontal="center" wrapText="1"/>
    </xf>
    <xf numFmtId="10" fontId="27" fillId="0" borderId="1" xfId="1" applyNumberFormat="1" applyFont="1" applyBorder="1" applyAlignment="1">
      <alignment wrapText="1"/>
    </xf>
    <xf numFmtId="0" fontId="27" fillId="0" borderId="1" xfId="1" applyFont="1" applyBorder="1" applyAlignment="1">
      <alignment wrapText="1"/>
    </xf>
    <xf numFmtId="0" fontId="5" fillId="0" borderId="9" xfId="4" applyFont="1" applyBorder="1"/>
    <xf numFmtId="0" fontId="5" fillId="0" borderId="3" xfId="1" applyFont="1" applyBorder="1" applyAlignment="1">
      <alignment horizontal="left"/>
    </xf>
    <xf numFmtId="0" fontId="5" fillId="0" borderId="0" xfId="1" applyFont="1" applyAlignment="1">
      <alignment horizontal="center"/>
    </xf>
    <xf numFmtId="0" fontId="5" fillId="0" borderId="9" xfId="1" applyFont="1" applyBorder="1"/>
    <xf numFmtId="0" fontId="13" fillId="0" borderId="1" xfId="4" applyFont="1" applyBorder="1" applyAlignment="1">
      <alignment horizontal="center" vertical="top" wrapText="1"/>
    </xf>
    <xf numFmtId="0" fontId="19" fillId="0" borderId="0" xfId="1" applyFont="1" applyAlignment="1">
      <alignment horizontal="center"/>
    </xf>
    <xf numFmtId="9" fontId="5" fillId="0" borderId="0" xfId="1" applyNumberFormat="1" applyFont="1"/>
    <xf numFmtId="9" fontId="5" fillId="0" borderId="9" xfId="1" applyNumberFormat="1" applyFont="1" applyBorder="1"/>
    <xf numFmtId="0" fontId="3" fillId="3" borderId="1" xfId="4" applyFont="1" applyFill="1" applyBorder="1" applyAlignment="1">
      <alignment horizontal="center"/>
    </xf>
    <xf numFmtId="0" fontId="27" fillId="0" borderId="0" xfId="1" applyFont="1" applyAlignment="1">
      <alignment horizontal="right"/>
    </xf>
    <xf numFmtId="8" fontId="5" fillId="0" borderId="3" xfId="1" applyNumberFormat="1" applyFont="1" applyBorder="1"/>
    <xf numFmtId="0" fontId="2" fillId="3" borderId="0" xfId="4" applyFont="1" applyFill="1"/>
    <xf numFmtId="0" fontId="3" fillId="0" borderId="0" xfId="4" applyFont="1" applyAlignment="1">
      <alignment horizontal="center" wrapText="1"/>
    </xf>
    <xf numFmtId="0" fontId="3" fillId="0" borderId="1" xfId="1" applyFont="1" applyBorder="1" applyAlignment="1">
      <alignment horizontal="center" wrapText="1"/>
    </xf>
    <xf numFmtId="0" fontId="15" fillId="0" borderId="0" xfId="1" applyFont="1" applyAlignment="1">
      <alignment horizontal="center"/>
    </xf>
    <xf numFmtId="0" fontId="4" fillId="0" borderId="0" xfId="1" applyFont="1"/>
    <xf numFmtId="0" fontId="3" fillId="3" borderId="1" xfId="1" quotePrefix="1" applyFont="1" applyFill="1" applyBorder="1" applyAlignment="1">
      <alignment horizontal="center"/>
    </xf>
    <xf numFmtId="49" fontId="3" fillId="3" borderId="1" xfId="1" quotePrefix="1" applyNumberFormat="1" applyFont="1" applyFill="1" applyBorder="1" applyAlignment="1">
      <alignment horizontal="center" wrapText="1"/>
    </xf>
    <xf numFmtId="49" fontId="3" fillId="0" borderId="0" xfId="1" quotePrefix="1" applyNumberFormat="1" applyFont="1" applyAlignment="1">
      <alignment horizontal="center" wrapText="1"/>
    </xf>
    <xf numFmtId="0" fontId="3" fillId="0" borderId="1" xfId="1" applyFont="1" applyBorder="1" applyAlignment="1">
      <alignment wrapText="1"/>
    </xf>
    <xf numFmtId="0" fontId="3" fillId="3" borderId="1" xfId="1" applyFont="1" applyFill="1" applyBorder="1" applyAlignment="1">
      <alignment horizontal="center"/>
    </xf>
    <xf numFmtId="0" fontId="3" fillId="0" borderId="0" xfId="4" applyFont="1" applyAlignment="1">
      <alignment wrapText="1"/>
    </xf>
    <xf numFmtId="0" fontId="10" fillId="0" borderId="0" xfId="4" applyFont="1" applyAlignment="1">
      <alignment vertical="center"/>
    </xf>
    <xf numFmtId="0" fontId="24" fillId="0" borderId="0" xfId="4" applyFont="1" applyAlignment="1">
      <alignment horizontal="center" wrapText="1"/>
    </xf>
    <xf numFmtId="0" fontId="24" fillId="0" borderId="1" xfId="4" applyFont="1" applyBorder="1" applyAlignment="1">
      <alignment horizontal="center" wrapText="1"/>
    </xf>
    <xf numFmtId="0" fontId="28" fillId="0" borderId="0" xfId="1" applyFont="1" applyAlignment="1">
      <alignment horizontal="left" indent="2"/>
    </xf>
    <xf numFmtId="0" fontId="19" fillId="0" borderId="0" xfId="1" applyFont="1" applyAlignment="1">
      <alignment horizontal="centerContinuous"/>
    </xf>
    <xf numFmtId="0" fontId="2" fillId="0" borderId="0" xfId="1" applyAlignment="1">
      <alignment horizontal="centerContinuous"/>
    </xf>
    <xf numFmtId="6" fontId="5" fillId="0" borderId="1" xfId="1" applyNumberFormat="1" applyFont="1" applyBorder="1"/>
    <xf numFmtId="0" fontId="2" fillId="0" borderId="1" xfId="1" applyBorder="1"/>
    <xf numFmtId="0" fontId="10" fillId="0" borderId="0" xfId="4" applyFont="1"/>
    <xf numFmtId="44" fontId="5" fillId="0" borderId="1" xfId="6" applyFont="1" applyFill="1" applyBorder="1" applyAlignment="1">
      <alignment horizontal="left"/>
    </xf>
    <xf numFmtId="0" fontId="3" fillId="0" borderId="0" xfId="1" applyFont="1" applyAlignment="1">
      <alignment horizontal="left" indent="4"/>
    </xf>
    <xf numFmtId="0" fontId="3" fillId="0" borderId="4" xfId="1" applyFont="1" applyBorder="1"/>
    <xf numFmtId="0" fontId="22" fillId="0" borderId="4" xfId="1" applyFont="1" applyBorder="1" applyAlignment="1">
      <alignment horizontal="center"/>
    </xf>
    <xf numFmtId="0" fontId="16" fillId="0" borderId="0" xfId="1" applyFont="1" applyAlignment="1">
      <alignment horizontal="center"/>
    </xf>
    <xf numFmtId="9" fontId="5" fillId="0" borderId="1" xfId="1" applyNumberFormat="1" applyFont="1" applyBorder="1" applyAlignment="1">
      <alignment horizontal="center"/>
    </xf>
    <xf numFmtId="0" fontId="5" fillId="0" borderId="1" xfId="1" applyFont="1" applyBorder="1" applyAlignment="1">
      <alignment horizontal="center"/>
    </xf>
    <xf numFmtId="0" fontId="29" fillId="0" borderId="0" xfId="1" applyFont="1" applyAlignment="1">
      <alignment horizontal="center"/>
    </xf>
    <xf numFmtId="0" fontId="16" fillId="0" borderId="4" xfId="1" applyFont="1" applyBorder="1" applyAlignment="1">
      <alignment horizontal="center"/>
    </xf>
    <xf numFmtId="0" fontId="16" fillId="0" borderId="4" xfId="1" applyFont="1" applyBorder="1"/>
    <xf numFmtId="0" fontId="15" fillId="0" borderId="4" xfId="1" applyFont="1" applyBorder="1" applyAlignment="1">
      <alignment horizontal="center" wrapText="1"/>
    </xf>
    <xf numFmtId="0" fontId="16" fillId="0" borderId="4" xfId="1" applyFont="1" applyBorder="1" applyAlignment="1">
      <alignment horizontal="center"/>
    </xf>
    <xf numFmtId="0" fontId="13" fillId="0" borderId="4" xfId="1" applyFont="1" applyBorder="1" applyAlignment="1">
      <alignment horizontal="center" wrapText="1"/>
    </xf>
    <xf numFmtId="0" fontId="3" fillId="0" borderId="2" xfId="1" applyFont="1" applyBorder="1" applyAlignment="1">
      <alignment horizontal="center"/>
    </xf>
    <xf numFmtId="0" fontId="3" fillId="0" borderId="0" xfId="1" applyFont="1" applyAlignment="1">
      <alignment horizontal="left"/>
    </xf>
    <xf numFmtId="0" fontId="3" fillId="0" borderId="4" xfId="1" applyFont="1" applyBorder="1" applyAlignment="1">
      <alignment horizontal="center"/>
    </xf>
    <xf numFmtId="9" fontId="3" fillId="0" borderId="4" xfId="7" applyFont="1" applyFill="1" applyBorder="1" applyAlignment="1">
      <alignment horizontal="center"/>
    </xf>
    <xf numFmtId="0" fontId="15" fillId="0" borderId="0" xfId="1" applyFont="1" applyAlignment="1">
      <alignment horizontal="left"/>
    </xf>
    <xf numFmtId="0" fontId="3" fillId="0" borderId="4" xfId="1" applyFont="1" applyBorder="1" applyAlignment="1">
      <alignment horizontal="left"/>
    </xf>
    <xf numFmtId="0" fontId="24" fillId="0" borderId="0" xfId="1" applyFont="1" applyAlignment="1">
      <alignment horizontal="left"/>
    </xf>
    <xf numFmtId="0" fontId="3" fillId="0" borderId="2" xfId="1" applyFont="1" applyBorder="1"/>
    <xf numFmtId="0" fontId="3" fillId="0" borderId="0" xfId="1" applyFont="1"/>
    <xf numFmtId="0" fontId="15" fillId="0" borderId="0" xfId="1" applyFont="1"/>
    <xf numFmtId="0" fontId="24" fillId="0" borderId="0" xfId="1" applyFont="1"/>
    <xf numFmtId="9" fontId="3" fillId="0" borderId="4" xfId="1" applyNumberFormat="1" applyFont="1" applyBorder="1" applyAlignment="1">
      <alignment horizontal="center"/>
    </xf>
    <xf numFmtId="0" fontId="15" fillId="0" borderId="0" xfId="1" applyFont="1" applyAlignment="1">
      <alignment horizontal="center" wrapText="1"/>
    </xf>
    <xf numFmtId="0" fontId="15" fillId="0" borderId="0" xfId="1" applyFont="1" applyAlignment="1">
      <alignment horizontal="center"/>
    </xf>
    <xf numFmtId="0" fontId="3" fillId="0" borderId="10" xfId="1" applyFont="1" applyBorder="1"/>
  </cellXfs>
  <cellStyles count="8">
    <cellStyle name="Comma 2" xfId="3" xr:uid="{A50140C5-BA42-4E50-8CD5-62186A46B475}"/>
    <cellStyle name="Comma 5 2" xfId="2" xr:uid="{4F5ED5E1-BD20-44AC-85F3-164FF7BC0CD0}"/>
    <cellStyle name="Currency 2" xfId="5" xr:uid="{A6DFFEA7-53C1-42E4-9211-502503A089A8}"/>
    <cellStyle name="Currency 5 2" xfId="6" xr:uid="{5902660C-295B-4508-BD0C-4C8F23A9984E}"/>
    <cellStyle name="Normal" xfId="0" builtinId="0"/>
    <cellStyle name="Normal 2" xfId="1" xr:uid="{5E4F290A-DA4B-42CD-BB4F-FCAE08DB3450}"/>
    <cellStyle name="Normal 4 2" xfId="4" xr:uid="{24B256CF-23C1-42B1-ADD9-FA353D8DF3D9}"/>
    <cellStyle name="Percent 2" xfId="7" xr:uid="{2995087D-1D56-4262-A813-F6C50B05D81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Relationship Id="rId9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9527</xdr:colOff>
      <xdr:row>312</xdr:row>
      <xdr:rowOff>26986</xdr:rowOff>
    </xdr:from>
    <xdr:to>
      <xdr:col>7</xdr:col>
      <xdr:colOff>276225</xdr:colOff>
      <xdr:row>313</xdr:row>
      <xdr:rowOff>9525</xdr:rowOff>
    </xdr:to>
    <xdr:sp macro="" textlink="">
      <xdr:nvSpPr>
        <xdr:cNvPr id="2" name="Oval 7">
          <a:extLst>
            <a:ext uri="{FF2B5EF4-FFF2-40B4-BE49-F238E27FC236}">
              <a16:creationId xmlns:a16="http://schemas.microsoft.com/office/drawing/2014/main" id="{FF3E94EB-714C-47DF-B5E5-3BFC3DEB69E4}"/>
            </a:ext>
          </a:extLst>
        </xdr:cNvPr>
        <xdr:cNvSpPr>
          <a:spLocks noChangeArrowheads="1"/>
        </xdr:cNvSpPr>
      </xdr:nvSpPr>
      <xdr:spPr bwMode="auto">
        <a:xfrm>
          <a:off x="4954907" y="53885146"/>
          <a:ext cx="266698" cy="150179"/>
        </a:xfrm>
        <a:prstGeom prst="ellipse">
          <a:avLst/>
        </a:prstGeom>
        <a:noFill/>
        <a:ln w="9525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3</xdr:col>
      <xdr:colOff>628650</xdr:colOff>
      <xdr:row>464</xdr:row>
      <xdr:rowOff>0</xdr:rowOff>
    </xdr:from>
    <xdr:to>
      <xdr:col>4</xdr:col>
      <xdr:colOff>352425</xdr:colOff>
      <xdr:row>464</xdr:row>
      <xdr:rowOff>0</xdr:rowOff>
    </xdr:to>
    <xdr:sp macro="" textlink="">
      <xdr:nvSpPr>
        <xdr:cNvPr id="3" name="Oval 21">
          <a:extLst>
            <a:ext uri="{FF2B5EF4-FFF2-40B4-BE49-F238E27FC236}">
              <a16:creationId xmlns:a16="http://schemas.microsoft.com/office/drawing/2014/main" id="{FCA8E83F-BDB3-43A2-9F7D-E3920F4BD656}"/>
            </a:ext>
          </a:extLst>
        </xdr:cNvPr>
        <xdr:cNvSpPr>
          <a:spLocks noChangeArrowheads="1"/>
        </xdr:cNvSpPr>
      </xdr:nvSpPr>
      <xdr:spPr bwMode="auto">
        <a:xfrm>
          <a:off x="2907030" y="81351120"/>
          <a:ext cx="493395" cy="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>
            <a:alpha val="0"/>
          </a:srgbClr>
        </a:solidFill>
        <a:ln w="9525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10</xdr:col>
      <xdr:colOff>28576</xdr:colOff>
      <xdr:row>35</xdr:row>
      <xdr:rowOff>12700</xdr:rowOff>
    </xdr:from>
    <xdr:to>
      <xdr:col>10</xdr:col>
      <xdr:colOff>360364</xdr:colOff>
      <xdr:row>36</xdr:row>
      <xdr:rowOff>0</xdr:rowOff>
    </xdr:to>
    <xdr:sp macro="" textlink="">
      <xdr:nvSpPr>
        <xdr:cNvPr id="4" name="Oval 9">
          <a:extLst>
            <a:ext uri="{FF2B5EF4-FFF2-40B4-BE49-F238E27FC236}">
              <a16:creationId xmlns:a16="http://schemas.microsoft.com/office/drawing/2014/main" id="{2408F63E-49A7-4C81-AB9B-3FF21C927F9A}"/>
            </a:ext>
          </a:extLst>
        </xdr:cNvPr>
        <xdr:cNvSpPr>
          <a:spLocks noChangeArrowheads="1"/>
        </xdr:cNvSpPr>
      </xdr:nvSpPr>
      <xdr:spPr bwMode="auto">
        <a:xfrm>
          <a:off x="7138036" y="5925820"/>
          <a:ext cx="331788" cy="154940"/>
        </a:xfrm>
        <a:prstGeom prst="ellipse">
          <a:avLst/>
        </a:prstGeom>
        <a:noFill/>
        <a:ln w="9525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8</xdr:col>
      <xdr:colOff>487361</xdr:colOff>
      <xdr:row>232</xdr:row>
      <xdr:rowOff>14288</xdr:rowOff>
    </xdr:from>
    <xdr:to>
      <xdr:col>9</xdr:col>
      <xdr:colOff>185738</xdr:colOff>
      <xdr:row>233</xdr:row>
      <xdr:rowOff>4763</xdr:rowOff>
    </xdr:to>
    <xdr:sp macro="" textlink="">
      <xdr:nvSpPr>
        <xdr:cNvPr id="5" name="Oval 20">
          <a:extLst>
            <a:ext uri="{FF2B5EF4-FFF2-40B4-BE49-F238E27FC236}">
              <a16:creationId xmlns:a16="http://schemas.microsoft.com/office/drawing/2014/main" id="{46FF2243-9844-40E1-802F-F761A7F6D158}"/>
            </a:ext>
          </a:extLst>
        </xdr:cNvPr>
        <xdr:cNvSpPr>
          <a:spLocks noChangeArrowheads="1"/>
        </xdr:cNvSpPr>
      </xdr:nvSpPr>
      <xdr:spPr bwMode="auto">
        <a:xfrm>
          <a:off x="6171881" y="39760208"/>
          <a:ext cx="399417" cy="158115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>
            <a:alpha val="0"/>
          </a:srgbClr>
        </a:solidFill>
        <a:ln w="9525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7</xdr:col>
      <xdr:colOff>1</xdr:colOff>
      <xdr:row>235</xdr:row>
      <xdr:rowOff>19050</xdr:rowOff>
    </xdr:from>
    <xdr:to>
      <xdr:col>7</xdr:col>
      <xdr:colOff>271463</xdr:colOff>
      <xdr:row>235</xdr:row>
      <xdr:rowOff>166687</xdr:rowOff>
    </xdr:to>
    <xdr:sp macro="" textlink="">
      <xdr:nvSpPr>
        <xdr:cNvPr id="6" name="Oval 20">
          <a:extLst>
            <a:ext uri="{FF2B5EF4-FFF2-40B4-BE49-F238E27FC236}">
              <a16:creationId xmlns:a16="http://schemas.microsoft.com/office/drawing/2014/main" id="{B5736DBD-DC67-48FC-BB7B-8432D2311196}"/>
            </a:ext>
          </a:extLst>
        </xdr:cNvPr>
        <xdr:cNvSpPr>
          <a:spLocks noChangeArrowheads="1"/>
        </xdr:cNvSpPr>
      </xdr:nvSpPr>
      <xdr:spPr bwMode="auto">
        <a:xfrm>
          <a:off x="4945381" y="40267890"/>
          <a:ext cx="271462" cy="147637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>
            <a:alpha val="0"/>
          </a:srgbClr>
        </a:solidFill>
        <a:ln w="9525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7</xdr:col>
      <xdr:colOff>638175</xdr:colOff>
      <xdr:row>212</xdr:row>
      <xdr:rowOff>195263</xdr:rowOff>
    </xdr:from>
    <xdr:to>
      <xdr:col>8</xdr:col>
      <xdr:colOff>504826</xdr:colOff>
      <xdr:row>213</xdr:row>
      <xdr:rowOff>9525</xdr:rowOff>
    </xdr:to>
    <xdr:sp macro="" textlink="">
      <xdr:nvSpPr>
        <xdr:cNvPr id="7" name="Oval 6">
          <a:extLst>
            <a:ext uri="{FF2B5EF4-FFF2-40B4-BE49-F238E27FC236}">
              <a16:creationId xmlns:a16="http://schemas.microsoft.com/office/drawing/2014/main" id="{2FE2BA6F-11E9-4C8C-ABC2-438953793263}"/>
            </a:ext>
          </a:extLst>
        </xdr:cNvPr>
        <xdr:cNvSpPr>
          <a:spLocks noChangeArrowheads="1"/>
        </xdr:cNvSpPr>
      </xdr:nvSpPr>
      <xdr:spPr bwMode="auto">
        <a:xfrm flipV="1">
          <a:off x="5583555" y="36298823"/>
          <a:ext cx="605791" cy="134302"/>
        </a:xfrm>
        <a:prstGeom prst="ellipse">
          <a:avLst/>
        </a:prstGeom>
        <a:noFill/>
        <a:ln w="9525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wrap="square"/>
        <a:lstStyle/>
        <a:p>
          <a:endParaRPr lang="en-US"/>
        </a:p>
      </xdr:txBody>
    </xdr:sp>
    <xdr:clientData/>
  </xdr:twoCellAnchor>
  <xdr:twoCellAnchor>
    <xdr:from>
      <xdr:col>3</xdr:col>
      <xdr:colOff>757237</xdr:colOff>
      <xdr:row>205</xdr:row>
      <xdr:rowOff>171449</xdr:rowOff>
    </xdr:from>
    <xdr:to>
      <xdr:col>4</xdr:col>
      <xdr:colOff>576262</xdr:colOff>
      <xdr:row>205</xdr:row>
      <xdr:rowOff>314324</xdr:rowOff>
    </xdr:to>
    <xdr:sp macro="" textlink="">
      <xdr:nvSpPr>
        <xdr:cNvPr id="8" name="Oval 5">
          <a:extLst>
            <a:ext uri="{FF2B5EF4-FFF2-40B4-BE49-F238E27FC236}">
              <a16:creationId xmlns:a16="http://schemas.microsoft.com/office/drawing/2014/main" id="{B046E082-29E1-42EB-9B56-58E1B9BEAD63}"/>
            </a:ext>
          </a:extLst>
        </xdr:cNvPr>
        <xdr:cNvSpPr>
          <a:spLocks noChangeArrowheads="1"/>
        </xdr:cNvSpPr>
      </xdr:nvSpPr>
      <xdr:spPr bwMode="auto">
        <a:xfrm flipV="1">
          <a:off x="3035617" y="34949129"/>
          <a:ext cx="588645" cy="142875"/>
        </a:xfrm>
        <a:prstGeom prst="ellipse">
          <a:avLst/>
        </a:prstGeom>
        <a:noFill/>
        <a:ln w="9525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8</xdr:col>
      <xdr:colOff>4762</xdr:colOff>
      <xdr:row>233</xdr:row>
      <xdr:rowOff>14288</xdr:rowOff>
    </xdr:from>
    <xdr:to>
      <xdr:col>8</xdr:col>
      <xdr:colOff>419099</xdr:colOff>
      <xdr:row>234</xdr:row>
      <xdr:rowOff>14288</xdr:rowOff>
    </xdr:to>
    <xdr:sp macro="" textlink="">
      <xdr:nvSpPr>
        <xdr:cNvPr id="9" name="Oval 8">
          <a:extLst>
            <a:ext uri="{FF2B5EF4-FFF2-40B4-BE49-F238E27FC236}">
              <a16:creationId xmlns:a16="http://schemas.microsoft.com/office/drawing/2014/main" id="{F618D0CA-8C10-4B5B-B5A1-A7F4A46F20EA}"/>
            </a:ext>
          </a:extLst>
        </xdr:cNvPr>
        <xdr:cNvSpPr>
          <a:spLocks noChangeArrowheads="1"/>
        </xdr:cNvSpPr>
      </xdr:nvSpPr>
      <xdr:spPr bwMode="auto">
        <a:xfrm>
          <a:off x="5689282" y="39927848"/>
          <a:ext cx="414337" cy="167640"/>
        </a:xfrm>
        <a:prstGeom prst="ellipse">
          <a:avLst/>
        </a:prstGeom>
        <a:noFill/>
        <a:ln w="9525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wrap="square"/>
        <a:lstStyle/>
        <a:p>
          <a:endParaRPr lang="en-US"/>
        </a:p>
      </xdr:txBody>
    </xdr:sp>
    <xdr:clientData/>
  </xdr:twoCellAnchor>
  <xdr:twoCellAnchor>
    <xdr:from>
      <xdr:col>5</xdr:col>
      <xdr:colOff>581025</xdr:colOff>
      <xdr:row>210</xdr:row>
      <xdr:rowOff>152399</xdr:rowOff>
    </xdr:from>
    <xdr:to>
      <xdr:col>8</xdr:col>
      <xdr:colOff>571500</xdr:colOff>
      <xdr:row>212</xdr:row>
      <xdr:rowOff>33337</xdr:rowOff>
    </xdr:to>
    <xdr:sp macro="" textlink="">
      <xdr:nvSpPr>
        <xdr:cNvPr id="10" name="Oval 9">
          <a:extLst>
            <a:ext uri="{FF2B5EF4-FFF2-40B4-BE49-F238E27FC236}">
              <a16:creationId xmlns:a16="http://schemas.microsoft.com/office/drawing/2014/main" id="{752F4195-C4B5-45E6-9CEB-AF5B2548D837}"/>
            </a:ext>
          </a:extLst>
        </xdr:cNvPr>
        <xdr:cNvSpPr>
          <a:spLocks noChangeArrowheads="1"/>
        </xdr:cNvSpPr>
      </xdr:nvSpPr>
      <xdr:spPr bwMode="auto">
        <a:xfrm flipV="1">
          <a:off x="4261485" y="35920679"/>
          <a:ext cx="1994535" cy="216218"/>
        </a:xfrm>
        <a:prstGeom prst="ellipse">
          <a:avLst/>
        </a:prstGeom>
        <a:noFill/>
        <a:ln w="9525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wrap="square"/>
        <a:lstStyle/>
        <a:p>
          <a:endParaRPr lang="en-US"/>
        </a:p>
      </xdr:txBody>
    </xdr:sp>
    <xdr:clientData/>
  </xdr:twoCellAnchor>
  <xdr:twoCellAnchor>
    <xdr:from>
      <xdr:col>3</xdr:col>
      <xdr:colOff>738189</xdr:colOff>
      <xdr:row>243</xdr:row>
      <xdr:rowOff>161924</xdr:rowOff>
    </xdr:from>
    <xdr:to>
      <xdr:col>5</xdr:col>
      <xdr:colOff>381000</xdr:colOff>
      <xdr:row>244</xdr:row>
      <xdr:rowOff>38099</xdr:rowOff>
    </xdr:to>
    <xdr:sp macro="" textlink="">
      <xdr:nvSpPr>
        <xdr:cNvPr id="11" name="Oval 10">
          <a:extLst>
            <a:ext uri="{FF2B5EF4-FFF2-40B4-BE49-F238E27FC236}">
              <a16:creationId xmlns:a16="http://schemas.microsoft.com/office/drawing/2014/main" id="{2B4DE2E3-DE20-4AE9-9E95-DA2F3291A42E}"/>
            </a:ext>
          </a:extLst>
        </xdr:cNvPr>
        <xdr:cNvSpPr>
          <a:spLocks noChangeArrowheads="1"/>
        </xdr:cNvSpPr>
      </xdr:nvSpPr>
      <xdr:spPr bwMode="auto">
        <a:xfrm flipV="1">
          <a:off x="3016569" y="41767124"/>
          <a:ext cx="1044891" cy="241935"/>
        </a:xfrm>
        <a:prstGeom prst="ellipse">
          <a:avLst/>
        </a:prstGeom>
        <a:noFill/>
        <a:ln w="9525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wrap="square"/>
        <a:lstStyle/>
        <a:p>
          <a:endParaRPr lang="en-US"/>
        </a:p>
      </xdr:txBody>
    </xdr:sp>
    <xdr:clientData/>
  </xdr:twoCellAnchor>
  <xdr:twoCellAnchor>
    <xdr:from>
      <xdr:col>6</xdr:col>
      <xdr:colOff>628650</xdr:colOff>
      <xdr:row>247</xdr:row>
      <xdr:rowOff>19048</xdr:rowOff>
    </xdr:from>
    <xdr:to>
      <xdr:col>7</xdr:col>
      <xdr:colOff>395287</xdr:colOff>
      <xdr:row>248</xdr:row>
      <xdr:rowOff>28575</xdr:rowOff>
    </xdr:to>
    <xdr:sp macro="" textlink="">
      <xdr:nvSpPr>
        <xdr:cNvPr id="12" name="Oval 11">
          <a:extLst>
            <a:ext uri="{FF2B5EF4-FFF2-40B4-BE49-F238E27FC236}">
              <a16:creationId xmlns:a16="http://schemas.microsoft.com/office/drawing/2014/main" id="{E1C502DE-4C3A-46D5-A08C-31D1AA209900}"/>
            </a:ext>
          </a:extLst>
        </xdr:cNvPr>
        <xdr:cNvSpPr>
          <a:spLocks noChangeArrowheads="1"/>
        </xdr:cNvSpPr>
      </xdr:nvSpPr>
      <xdr:spPr bwMode="auto">
        <a:xfrm flipV="1">
          <a:off x="4941570" y="42652948"/>
          <a:ext cx="399097" cy="177167"/>
        </a:xfrm>
        <a:prstGeom prst="ellipse">
          <a:avLst/>
        </a:prstGeom>
        <a:noFill/>
        <a:ln w="9525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wrap="square"/>
        <a:lstStyle/>
        <a:p>
          <a:endParaRPr lang="en-US"/>
        </a:p>
      </xdr:txBody>
    </xdr:sp>
    <xdr:clientData/>
  </xdr:twoCellAnchor>
  <xdr:twoCellAnchor>
    <xdr:from>
      <xdr:col>7</xdr:col>
      <xdr:colOff>9526</xdr:colOff>
      <xdr:row>249</xdr:row>
      <xdr:rowOff>38097</xdr:rowOff>
    </xdr:from>
    <xdr:to>
      <xdr:col>7</xdr:col>
      <xdr:colOff>242888</xdr:colOff>
      <xdr:row>249</xdr:row>
      <xdr:rowOff>166686</xdr:rowOff>
    </xdr:to>
    <xdr:sp macro="" textlink="">
      <xdr:nvSpPr>
        <xdr:cNvPr id="13" name="Oval 12">
          <a:extLst>
            <a:ext uri="{FF2B5EF4-FFF2-40B4-BE49-F238E27FC236}">
              <a16:creationId xmlns:a16="http://schemas.microsoft.com/office/drawing/2014/main" id="{29288EB9-EBBC-4F69-85C6-3BCB0EAC128B}"/>
            </a:ext>
          </a:extLst>
        </xdr:cNvPr>
        <xdr:cNvSpPr>
          <a:spLocks noChangeArrowheads="1"/>
        </xdr:cNvSpPr>
      </xdr:nvSpPr>
      <xdr:spPr bwMode="auto">
        <a:xfrm flipV="1">
          <a:off x="4954906" y="43007277"/>
          <a:ext cx="233362" cy="128589"/>
        </a:xfrm>
        <a:prstGeom prst="ellipse">
          <a:avLst/>
        </a:prstGeom>
        <a:noFill/>
        <a:ln w="9525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wrap="square"/>
        <a:lstStyle/>
        <a:p>
          <a:endParaRPr lang="en-US"/>
        </a:p>
      </xdr:txBody>
    </xdr:sp>
    <xdr:clientData/>
  </xdr:twoCellAnchor>
  <xdr:twoCellAnchor>
    <xdr:from>
      <xdr:col>3</xdr:col>
      <xdr:colOff>762002</xdr:colOff>
      <xdr:row>224</xdr:row>
      <xdr:rowOff>133350</xdr:rowOff>
    </xdr:from>
    <xdr:to>
      <xdr:col>4</xdr:col>
      <xdr:colOff>538164</xdr:colOff>
      <xdr:row>225</xdr:row>
      <xdr:rowOff>9525</xdr:rowOff>
    </xdr:to>
    <xdr:sp macro="" textlink="">
      <xdr:nvSpPr>
        <xdr:cNvPr id="14" name="Oval 5">
          <a:extLst>
            <a:ext uri="{FF2B5EF4-FFF2-40B4-BE49-F238E27FC236}">
              <a16:creationId xmlns:a16="http://schemas.microsoft.com/office/drawing/2014/main" id="{CD898F9B-BBAC-43CD-B996-3BBE658F4B50}"/>
            </a:ext>
          </a:extLst>
        </xdr:cNvPr>
        <xdr:cNvSpPr>
          <a:spLocks noChangeArrowheads="1"/>
        </xdr:cNvSpPr>
      </xdr:nvSpPr>
      <xdr:spPr bwMode="auto">
        <a:xfrm flipV="1">
          <a:off x="3040382" y="38400990"/>
          <a:ext cx="545782" cy="180975"/>
        </a:xfrm>
        <a:prstGeom prst="ellipse">
          <a:avLst/>
        </a:prstGeom>
        <a:noFill/>
        <a:ln w="9525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3</xdr:col>
      <xdr:colOff>757238</xdr:colOff>
      <xdr:row>244</xdr:row>
      <xdr:rowOff>166687</xdr:rowOff>
    </xdr:from>
    <xdr:to>
      <xdr:col>4</xdr:col>
      <xdr:colOff>523876</xdr:colOff>
      <xdr:row>245</xdr:row>
      <xdr:rowOff>9526</xdr:rowOff>
    </xdr:to>
    <xdr:sp macro="" textlink="">
      <xdr:nvSpPr>
        <xdr:cNvPr id="15" name="Oval 5">
          <a:extLst>
            <a:ext uri="{FF2B5EF4-FFF2-40B4-BE49-F238E27FC236}">
              <a16:creationId xmlns:a16="http://schemas.microsoft.com/office/drawing/2014/main" id="{72203F57-76F7-420E-A4D2-A63A1777D74D}"/>
            </a:ext>
          </a:extLst>
        </xdr:cNvPr>
        <xdr:cNvSpPr>
          <a:spLocks noChangeArrowheads="1"/>
        </xdr:cNvSpPr>
      </xdr:nvSpPr>
      <xdr:spPr bwMode="auto">
        <a:xfrm flipV="1">
          <a:off x="3035618" y="42137647"/>
          <a:ext cx="536258" cy="170499"/>
        </a:xfrm>
        <a:prstGeom prst="ellipse">
          <a:avLst/>
        </a:prstGeom>
        <a:noFill/>
        <a:ln w="9525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2</xdr:col>
      <xdr:colOff>876300</xdr:colOff>
      <xdr:row>114</xdr:row>
      <xdr:rowOff>158750</xdr:rowOff>
    </xdr:from>
    <xdr:to>
      <xdr:col>3</xdr:col>
      <xdr:colOff>457200</xdr:colOff>
      <xdr:row>116</xdr:row>
      <xdr:rowOff>33019</xdr:rowOff>
    </xdr:to>
    <xdr:sp macro="" textlink="">
      <xdr:nvSpPr>
        <xdr:cNvPr id="16" name="Oval 15">
          <a:extLst>
            <a:ext uri="{FF2B5EF4-FFF2-40B4-BE49-F238E27FC236}">
              <a16:creationId xmlns:a16="http://schemas.microsoft.com/office/drawing/2014/main" id="{3A939C62-FE18-4752-ACA3-F37AA5D5796C}"/>
            </a:ext>
          </a:extLst>
        </xdr:cNvPr>
        <xdr:cNvSpPr>
          <a:spLocks noChangeArrowheads="1"/>
        </xdr:cNvSpPr>
      </xdr:nvSpPr>
      <xdr:spPr>
        <a:xfrm>
          <a:off x="2278380" y="18934430"/>
          <a:ext cx="457200" cy="209549"/>
        </a:xfrm>
        <a:prstGeom prst="ellipse">
          <a:avLst/>
        </a:prstGeom>
        <a:noFill/>
        <a:ln w="9525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9</xdr:col>
      <xdr:colOff>19050</xdr:colOff>
      <xdr:row>213</xdr:row>
      <xdr:rowOff>28575</xdr:rowOff>
    </xdr:from>
    <xdr:to>
      <xdr:col>9</xdr:col>
      <xdr:colOff>355600</xdr:colOff>
      <xdr:row>214</xdr:row>
      <xdr:rowOff>4</xdr:rowOff>
    </xdr:to>
    <xdr:sp macro="" textlink="">
      <xdr:nvSpPr>
        <xdr:cNvPr id="17" name="Oval 16">
          <a:extLst>
            <a:ext uri="{FF2B5EF4-FFF2-40B4-BE49-F238E27FC236}">
              <a16:creationId xmlns:a16="http://schemas.microsoft.com/office/drawing/2014/main" id="{7ADF0F08-8E1D-40F8-95F5-A55D9A44945F}"/>
            </a:ext>
          </a:extLst>
        </xdr:cNvPr>
        <xdr:cNvSpPr>
          <a:spLocks noChangeArrowheads="1"/>
        </xdr:cNvSpPr>
      </xdr:nvSpPr>
      <xdr:spPr bwMode="auto">
        <a:xfrm flipV="1">
          <a:off x="6404610" y="36452175"/>
          <a:ext cx="336550" cy="139069"/>
        </a:xfrm>
        <a:prstGeom prst="ellipse">
          <a:avLst/>
        </a:prstGeom>
        <a:noFill/>
        <a:ln w="9525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wrap="square"/>
        <a:lstStyle/>
        <a:p>
          <a:endParaRPr lang="en-US"/>
        </a:p>
      </xdr:txBody>
    </xdr:sp>
    <xdr:clientData/>
  </xdr:twoCellAnchor>
  <xdr:twoCellAnchor>
    <xdr:from>
      <xdr:col>9</xdr:col>
      <xdr:colOff>28575</xdr:colOff>
      <xdr:row>214</xdr:row>
      <xdr:rowOff>33338</xdr:rowOff>
    </xdr:from>
    <xdr:to>
      <xdr:col>9</xdr:col>
      <xdr:colOff>365125</xdr:colOff>
      <xdr:row>215</xdr:row>
      <xdr:rowOff>4768</xdr:rowOff>
    </xdr:to>
    <xdr:sp macro="" textlink="">
      <xdr:nvSpPr>
        <xdr:cNvPr id="18" name="Oval 17">
          <a:extLst>
            <a:ext uri="{FF2B5EF4-FFF2-40B4-BE49-F238E27FC236}">
              <a16:creationId xmlns:a16="http://schemas.microsoft.com/office/drawing/2014/main" id="{1E44365E-89A7-450B-BD98-B0B27E6D04F0}"/>
            </a:ext>
          </a:extLst>
        </xdr:cNvPr>
        <xdr:cNvSpPr>
          <a:spLocks noChangeArrowheads="1"/>
        </xdr:cNvSpPr>
      </xdr:nvSpPr>
      <xdr:spPr bwMode="auto">
        <a:xfrm flipV="1">
          <a:off x="6414135" y="36624578"/>
          <a:ext cx="336550" cy="139070"/>
        </a:xfrm>
        <a:prstGeom prst="ellipse">
          <a:avLst/>
        </a:prstGeom>
        <a:noFill/>
        <a:ln w="9525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wrap="square"/>
        <a:lstStyle/>
        <a:p>
          <a:endParaRPr lang="en-US"/>
        </a:p>
      </xdr:txBody>
    </xdr:sp>
    <xdr:clientData/>
  </xdr:twoCellAnchor>
  <xdr:oneCellAnchor>
    <xdr:from>
      <xdr:col>12</xdr:col>
      <xdr:colOff>7619</xdr:colOff>
      <xdr:row>3</xdr:row>
      <xdr:rowOff>68581</xdr:rowOff>
    </xdr:from>
    <xdr:ext cx="9605877" cy="5827394"/>
    <xdr:pic>
      <xdr:nvPicPr>
        <xdr:cNvPr id="19" name="Picture 18">
          <a:extLst>
            <a:ext uri="{FF2B5EF4-FFF2-40B4-BE49-F238E27FC236}">
              <a16:creationId xmlns:a16="http://schemas.microsoft.com/office/drawing/2014/main" id="{62E74B25-2CFF-4FB9-9FC1-7D6C3E20057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244839" y="556261"/>
          <a:ext cx="9605877" cy="5827394"/>
        </a:xfrm>
        <a:prstGeom prst="rect">
          <a:avLst/>
        </a:prstGeom>
        <a:ln>
          <a:solidFill>
            <a:sysClr val="windowText" lastClr="000000"/>
          </a:solidFill>
        </a:ln>
      </xdr:spPr>
    </xdr:pic>
    <xdr:clientData/>
  </xdr:oneCellAnchor>
  <xdr:oneCellAnchor>
    <xdr:from>
      <xdr:col>12</xdr:col>
      <xdr:colOff>69850</xdr:colOff>
      <xdr:row>79</xdr:row>
      <xdr:rowOff>158750</xdr:rowOff>
    </xdr:from>
    <xdr:ext cx="5408930" cy="1891030"/>
    <xdr:pic>
      <xdr:nvPicPr>
        <xdr:cNvPr id="20" name="Picture 19">
          <a:extLst>
            <a:ext uri="{FF2B5EF4-FFF2-40B4-BE49-F238E27FC236}">
              <a16:creationId xmlns:a16="http://schemas.microsoft.com/office/drawing/2014/main" id="{56702EB5-519B-4374-9D35-28FC09A2990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307070" y="13524230"/>
          <a:ext cx="5408930" cy="1891030"/>
        </a:xfrm>
        <a:prstGeom prst="rect">
          <a:avLst/>
        </a:prstGeom>
        <a:ln>
          <a:solidFill>
            <a:sysClr val="windowText" lastClr="000000"/>
          </a:solidFill>
        </a:ln>
      </xdr:spPr>
    </xdr:pic>
    <xdr:clientData/>
  </xdr:oneCellAnchor>
  <xdr:oneCellAnchor>
    <xdr:from>
      <xdr:col>12</xdr:col>
      <xdr:colOff>44450</xdr:colOff>
      <xdr:row>91</xdr:row>
      <xdr:rowOff>0</xdr:rowOff>
    </xdr:from>
    <xdr:ext cx="5403850" cy="1573530"/>
    <xdr:pic>
      <xdr:nvPicPr>
        <xdr:cNvPr id="21" name="Picture 20">
          <a:extLst>
            <a:ext uri="{FF2B5EF4-FFF2-40B4-BE49-F238E27FC236}">
              <a16:creationId xmlns:a16="http://schemas.microsoft.com/office/drawing/2014/main" id="{52BF34E7-4F63-49DB-AA61-18AA850A235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8281670" y="15377160"/>
          <a:ext cx="5403850" cy="1573530"/>
        </a:xfrm>
        <a:prstGeom prst="rect">
          <a:avLst/>
        </a:prstGeom>
        <a:ln>
          <a:solidFill>
            <a:sysClr val="windowText" lastClr="000000"/>
          </a:solidFill>
        </a:ln>
      </xdr:spPr>
    </xdr:pic>
    <xdr:clientData/>
  </xdr:oneCellAnchor>
  <xdr:oneCellAnchor>
    <xdr:from>
      <xdr:col>11</xdr:col>
      <xdr:colOff>137160</xdr:colOff>
      <xdr:row>206</xdr:row>
      <xdr:rowOff>53340</xdr:rowOff>
    </xdr:from>
    <xdr:ext cx="5621020" cy="2390775"/>
    <xdr:pic>
      <xdr:nvPicPr>
        <xdr:cNvPr id="22" name="Picture 21">
          <a:extLst>
            <a:ext uri="{FF2B5EF4-FFF2-40B4-BE49-F238E27FC236}">
              <a16:creationId xmlns:a16="http://schemas.microsoft.com/office/drawing/2014/main" id="{F73ECF99-5DAA-4B60-97B5-45409D4212A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8206740" y="35151060"/>
          <a:ext cx="5621020" cy="2390775"/>
        </a:xfrm>
        <a:prstGeom prst="rect">
          <a:avLst/>
        </a:prstGeom>
        <a:ln>
          <a:solidFill>
            <a:sysClr val="windowText" lastClr="000000"/>
          </a:solidFill>
        </a:ln>
      </xdr:spPr>
    </xdr:pic>
    <xdr:clientData/>
  </xdr:oneCellAnchor>
  <xdr:oneCellAnchor>
    <xdr:from>
      <xdr:col>12</xdr:col>
      <xdr:colOff>35560</xdr:colOff>
      <xdr:row>61</xdr:row>
      <xdr:rowOff>107950</xdr:rowOff>
    </xdr:from>
    <xdr:ext cx="5618480" cy="2363470"/>
    <xdr:pic>
      <xdr:nvPicPr>
        <xdr:cNvPr id="23" name="Picture 22">
          <a:extLst>
            <a:ext uri="{FF2B5EF4-FFF2-40B4-BE49-F238E27FC236}">
              <a16:creationId xmlns:a16="http://schemas.microsoft.com/office/drawing/2014/main" id="{41F7C54D-446D-4E75-95EC-4DE10CE4BA6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8272780" y="10425430"/>
          <a:ext cx="5618480" cy="2363470"/>
        </a:xfrm>
        <a:prstGeom prst="rect">
          <a:avLst/>
        </a:prstGeom>
        <a:ln>
          <a:solidFill>
            <a:sysClr val="windowText" lastClr="000000"/>
          </a:solidFill>
        </a:ln>
      </xdr:spPr>
    </xdr:pic>
    <xdr:clientData/>
  </xdr:oneCellAnchor>
  <xdr:oneCellAnchor>
    <xdr:from>
      <xdr:col>12</xdr:col>
      <xdr:colOff>43181</xdr:colOff>
      <xdr:row>94</xdr:row>
      <xdr:rowOff>146051</xdr:rowOff>
    </xdr:from>
    <xdr:ext cx="5176519" cy="2706369"/>
    <xdr:pic>
      <xdr:nvPicPr>
        <xdr:cNvPr id="24" name="Picture 23">
          <a:extLst>
            <a:ext uri="{FF2B5EF4-FFF2-40B4-BE49-F238E27FC236}">
              <a16:creationId xmlns:a16="http://schemas.microsoft.com/office/drawing/2014/main" id="{A84BCB45-C3A5-41D8-A204-C2F343B340F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8280401" y="16033751"/>
          <a:ext cx="5176519" cy="2706369"/>
        </a:xfrm>
        <a:prstGeom prst="rect">
          <a:avLst/>
        </a:prstGeom>
        <a:ln>
          <a:solidFill>
            <a:sysClr val="windowText" lastClr="000000"/>
          </a:solidFill>
        </a:ln>
      </xdr:spPr>
    </xdr:pic>
    <xdr:clientData/>
  </xdr:oneCellAnchor>
  <xdr:oneCellAnchor>
    <xdr:from>
      <xdr:col>12</xdr:col>
      <xdr:colOff>63500</xdr:colOff>
      <xdr:row>114</xdr:row>
      <xdr:rowOff>142240</xdr:rowOff>
    </xdr:from>
    <xdr:ext cx="5125720" cy="2508250"/>
    <xdr:pic>
      <xdr:nvPicPr>
        <xdr:cNvPr id="25" name="Picture 24">
          <a:extLst>
            <a:ext uri="{FF2B5EF4-FFF2-40B4-BE49-F238E27FC236}">
              <a16:creationId xmlns:a16="http://schemas.microsoft.com/office/drawing/2014/main" id="{5E9CF906-C29E-405B-8372-DC6B5E24C8A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8300720" y="18917920"/>
          <a:ext cx="5125720" cy="2508250"/>
        </a:xfrm>
        <a:prstGeom prst="rect">
          <a:avLst/>
        </a:prstGeom>
        <a:ln>
          <a:solidFill>
            <a:sysClr val="windowText" lastClr="000000"/>
          </a:solidFill>
        </a:ln>
      </xdr:spPr>
    </xdr:pic>
    <xdr:clientData/>
  </xdr:oneCellAnchor>
  <xdr:oneCellAnchor>
    <xdr:from>
      <xdr:col>12</xdr:col>
      <xdr:colOff>44450</xdr:colOff>
      <xdr:row>221</xdr:row>
      <xdr:rowOff>88900</xdr:rowOff>
    </xdr:from>
    <xdr:ext cx="5563870" cy="3576320"/>
    <xdr:pic>
      <xdr:nvPicPr>
        <xdr:cNvPr id="26" name="Picture 25">
          <a:extLst>
            <a:ext uri="{FF2B5EF4-FFF2-40B4-BE49-F238E27FC236}">
              <a16:creationId xmlns:a16="http://schemas.microsoft.com/office/drawing/2014/main" id="{E668C75C-5B76-4399-8616-54DBBE15CC0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8281670" y="37853620"/>
          <a:ext cx="5563870" cy="3576320"/>
        </a:xfrm>
        <a:prstGeom prst="rect">
          <a:avLst/>
        </a:prstGeom>
        <a:ln>
          <a:solidFill>
            <a:schemeClr val="tx1"/>
          </a:solidFill>
        </a:ln>
      </xdr:spPr>
    </xdr:pic>
    <xdr:clientData/>
  </xdr:oneCellAnchor>
  <xdr:oneCellAnchor>
    <xdr:from>
      <xdr:col>11</xdr:col>
      <xdr:colOff>156210</xdr:colOff>
      <xdr:row>247</xdr:row>
      <xdr:rowOff>116841</xdr:rowOff>
    </xdr:from>
    <xdr:ext cx="5350510" cy="3210560"/>
    <xdr:pic>
      <xdr:nvPicPr>
        <xdr:cNvPr id="27" name="Picture 26">
          <a:extLst>
            <a:ext uri="{FF2B5EF4-FFF2-40B4-BE49-F238E27FC236}">
              <a16:creationId xmlns:a16="http://schemas.microsoft.com/office/drawing/2014/main" id="{858C9121-84F2-43E9-B517-404992FA989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8225790" y="42750741"/>
          <a:ext cx="5350510" cy="3210560"/>
        </a:xfrm>
        <a:prstGeom prst="rect">
          <a:avLst/>
        </a:prstGeom>
        <a:ln>
          <a:solidFill>
            <a:schemeClr val="tx1"/>
          </a:solidFill>
        </a:ln>
      </xdr:spPr>
    </xdr:pic>
    <xdr:clientData/>
  </xdr:oneCellAnchor>
  <xdr:twoCellAnchor>
    <xdr:from>
      <xdr:col>0</xdr:col>
      <xdr:colOff>44450</xdr:colOff>
      <xdr:row>372</xdr:row>
      <xdr:rowOff>368300</xdr:rowOff>
    </xdr:from>
    <xdr:to>
      <xdr:col>10</xdr:col>
      <xdr:colOff>838200</xdr:colOff>
      <xdr:row>418</xdr:row>
      <xdr:rowOff>120650</xdr:rowOff>
    </xdr:to>
    <xdr:cxnSp macro="">
      <xdr:nvCxnSpPr>
        <xdr:cNvPr id="28" name="Straight Connector 27">
          <a:extLst>
            <a:ext uri="{FF2B5EF4-FFF2-40B4-BE49-F238E27FC236}">
              <a16:creationId xmlns:a16="http://schemas.microsoft.com/office/drawing/2014/main" id="{6E1C7630-8E7E-47D1-AF35-1B6135AC7C21}"/>
            </a:ext>
          </a:extLst>
        </xdr:cNvPr>
        <xdr:cNvCxnSpPr/>
      </xdr:nvCxnSpPr>
      <xdr:spPr>
        <a:xfrm>
          <a:off x="44450" y="64414400"/>
          <a:ext cx="7903210" cy="802005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419</xdr:row>
      <xdr:rowOff>0</xdr:rowOff>
    </xdr:from>
    <xdr:to>
      <xdr:col>10</xdr:col>
      <xdr:colOff>838200</xdr:colOff>
      <xdr:row>463</xdr:row>
      <xdr:rowOff>234950</xdr:rowOff>
    </xdr:to>
    <xdr:cxnSp macro="">
      <xdr:nvCxnSpPr>
        <xdr:cNvPr id="29" name="Straight Connector 28">
          <a:extLst>
            <a:ext uri="{FF2B5EF4-FFF2-40B4-BE49-F238E27FC236}">
              <a16:creationId xmlns:a16="http://schemas.microsoft.com/office/drawing/2014/main" id="{A8657A35-FCCC-4FEF-9E4F-AEDEC2BBEEA4}"/>
            </a:ext>
          </a:extLst>
        </xdr:cNvPr>
        <xdr:cNvCxnSpPr/>
      </xdr:nvCxnSpPr>
      <xdr:spPr>
        <a:xfrm>
          <a:off x="0" y="72481440"/>
          <a:ext cx="7947660" cy="878459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L:\Katz%20Properties\2016\Somerset\Final\Abstracts%20Somerset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ssues Summary"/>
      <sheetName val="Declaration"/>
      <sheetName val="Barnes &amp; Noble"/>
      <sheetName val="Empire Wine"/>
      <sheetName val="FedEx"/>
      <sheetName val="Hallmark"/>
      <sheetName val="Houlihan's"/>
      <sheetName val="Stop &amp; Shop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>
        <row r="6">
          <cell r="C6">
            <v>64257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4D2FDC-42E6-4B90-8737-C32868103DBB}">
  <dimension ref="A1:R464"/>
  <sheetViews>
    <sheetView tabSelected="1" view="pageBreakPreview" topLeftCell="A282" zoomScaleNormal="100" zoomScaleSheetLayoutView="100" workbookViewId="0">
      <selection activeCell="S23" sqref="S23"/>
    </sheetView>
  </sheetViews>
  <sheetFormatPr defaultColWidth="9.21875" defaultRowHeight="13.2" x14ac:dyDescent="0.25"/>
  <cols>
    <col min="1" max="2" width="10.21875" style="3" customWidth="1"/>
    <col min="3" max="3" width="12.77734375" style="3" customWidth="1"/>
    <col min="4" max="4" width="11.21875" style="3" customWidth="1"/>
    <col min="5" max="7" width="9.21875" style="3"/>
    <col min="8" max="8" width="10.77734375" style="3" bestFit="1" customWidth="1"/>
    <col min="9" max="9" width="10.21875" style="3" bestFit="1" customWidth="1"/>
    <col min="10" max="10" width="10.5546875" style="3" customWidth="1"/>
    <col min="11" max="11" width="14" style="3" customWidth="1"/>
    <col min="12" max="12" width="2.44140625" style="3" customWidth="1"/>
    <col min="13" max="13" width="14.44140625" style="3" bestFit="1" customWidth="1"/>
    <col min="14" max="14" width="10.44140625" style="3" bestFit="1" customWidth="1"/>
    <col min="15" max="15" width="11.21875" style="3" bestFit="1" customWidth="1"/>
    <col min="16" max="16" width="10.21875" style="3" bestFit="1" customWidth="1"/>
    <col min="17" max="16384" width="9.21875" style="3"/>
  </cols>
  <sheetData>
    <row r="1" spans="1:15" ht="12" customHeight="1" x14ac:dyDescent="0.25">
      <c r="A1" s="1"/>
      <c r="B1" s="2"/>
      <c r="C1" s="2"/>
      <c r="D1" s="2"/>
      <c r="E1" s="2"/>
      <c r="F1" s="2"/>
      <c r="G1" s="2"/>
      <c r="H1" s="2"/>
      <c r="I1" s="2"/>
      <c r="J1" s="2"/>
      <c r="K1" s="2"/>
    </row>
    <row r="2" spans="1:15" x14ac:dyDescent="0.25">
      <c r="A2" s="1" t="s">
        <v>0</v>
      </c>
      <c r="B2" s="2"/>
      <c r="C2" s="4" t="s">
        <v>1</v>
      </c>
      <c r="D2" s="4"/>
      <c r="E2" s="4"/>
      <c r="F2" s="4"/>
      <c r="G2" s="4"/>
      <c r="H2" s="5" t="s">
        <v>2</v>
      </c>
      <c r="I2" s="6" t="s">
        <v>1</v>
      </c>
      <c r="J2" s="6"/>
      <c r="K2" s="6"/>
    </row>
    <row r="3" spans="1:15" x14ac:dyDescent="0.25">
      <c r="A3" s="1"/>
      <c r="B3" s="2"/>
      <c r="C3" s="7"/>
      <c r="D3" s="7"/>
      <c r="E3" s="7"/>
      <c r="F3" s="7"/>
      <c r="G3" s="7"/>
      <c r="H3" s="5"/>
      <c r="I3" s="7"/>
      <c r="J3" s="7"/>
      <c r="K3" s="7"/>
      <c r="M3" s="3" t="s">
        <v>3</v>
      </c>
    </row>
    <row r="4" spans="1:15" x14ac:dyDescent="0.25">
      <c r="A4" s="1" t="s">
        <v>4</v>
      </c>
      <c r="B4" s="2"/>
      <c r="C4" s="4" t="s">
        <v>5</v>
      </c>
      <c r="D4" s="4"/>
      <c r="E4" s="7" t="s">
        <v>6</v>
      </c>
      <c r="F4" s="7"/>
      <c r="G4" s="8">
        <v>61</v>
      </c>
      <c r="H4" s="5" t="s">
        <v>7</v>
      </c>
      <c r="I4" s="9" t="s">
        <v>8</v>
      </c>
      <c r="J4" s="9"/>
      <c r="K4" s="9"/>
    </row>
    <row r="5" spans="1:15" x14ac:dyDescent="0.25">
      <c r="A5" s="1"/>
      <c r="B5" s="2"/>
      <c r="C5" s="7"/>
      <c r="D5" s="7"/>
      <c r="E5" s="7"/>
      <c r="F5" s="7"/>
      <c r="G5" s="7"/>
      <c r="H5" s="7"/>
      <c r="I5" s="7"/>
      <c r="J5" s="7"/>
      <c r="K5" s="7"/>
    </row>
    <row r="6" spans="1:15" x14ac:dyDescent="0.25">
      <c r="A6" s="1" t="s">
        <v>9</v>
      </c>
      <c r="B6" s="2"/>
      <c r="C6" s="10">
        <v>22821</v>
      </c>
      <c r="D6" s="10"/>
      <c r="E6" s="7"/>
      <c r="F6" s="7"/>
      <c r="G6" s="7"/>
      <c r="H6" s="11"/>
      <c r="I6" s="7"/>
      <c r="J6" s="7"/>
      <c r="K6" s="12"/>
      <c r="O6" s="2"/>
    </row>
    <row r="7" spans="1:15" x14ac:dyDescent="0.25">
      <c r="A7" s="1"/>
      <c r="B7" s="2"/>
      <c r="C7" s="13"/>
      <c r="E7" s="7"/>
      <c r="F7" s="7"/>
      <c r="G7" s="7"/>
      <c r="H7" s="11"/>
      <c r="I7" s="7"/>
      <c r="J7" s="7"/>
      <c r="K7" s="12"/>
      <c r="O7" s="2"/>
    </row>
    <row r="8" spans="1:15" ht="13.8" x14ac:dyDescent="0.3">
      <c r="A8" s="14" t="s">
        <v>10</v>
      </c>
      <c r="B8" s="2"/>
      <c r="C8" s="2"/>
      <c r="D8" s="2"/>
      <c r="E8" s="2"/>
      <c r="F8" s="2"/>
      <c r="G8" s="2"/>
      <c r="H8" s="2"/>
      <c r="I8" s="2"/>
      <c r="J8" s="2"/>
      <c r="K8" s="2"/>
    </row>
    <row r="9" spans="1:15" ht="13.8" x14ac:dyDescent="0.3">
      <c r="A9" s="14"/>
      <c r="B9" s="7"/>
      <c r="C9" s="7"/>
      <c r="D9" s="7"/>
      <c r="E9" s="7"/>
      <c r="F9" s="7"/>
      <c r="G9" s="7"/>
      <c r="H9" s="7"/>
      <c r="I9" s="7"/>
      <c r="J9" s="7"/>
      <c r="K9" s="7"/>
    </row>
    <row r="10" spans="1:15" x14ac:dyDescent="0.25">
      <c r="A10" s="2"/>
      <c r="B10" s="15" t="s">
        <v>11</v>
      </c>
      <c r="C10" s="15"/>
      <c r="D10" s="15"/>
      <c r="E10" s="15"/>
      <c r="F10" s="15"/>
      <c r="G10" s="15"/>
      <c r="H10" s="15"/>
      <c r="I10" s="15"/>
      <c r="J10" s="15"/>
      <c r="K10" s="15"/>
    </row>
    <row r="11" spans="1:15" ht="13.35" customHeight="1" x14ac:dyDescent="0.25">
      <c r="A11" s="2"/>
      <c r="B11" s="16" t="s">
        <v>12</v>
      </c>
      <c r="C11" s="16"/>
      <c r="D11" s="16"/>
      <c r="E11" s="16"/>
      <c r="F11" s="16"/>
      <c r="G11" s="16"/>
      <c r="H11" s="16"/>
      <c r="I11" s="16"/>
      <c r="J11" s="16"/>
      <c r="K11" s="16"/>
    </row>
    <row r="12" spans="1:15" ht="13.8" x14ac:dyDescent="0.3">
      <c r="A12" s="14"/>
      <c r="B12" s="16"/>
      <c r="C12" s="16"/>
      <c r="D12" s="16"/>
      <c r="E12" s="16"/>
      <c r="F12" s="16"/>
      <c r="G12" s="16"/>
      <c r="H12" s="16"/>
      <c r="I12" s="16"/>
      <c r="J12" s="16"/>
      <c r="K12" s="16"/>
    </row>
    <row r="13" spans="1:15" ht="13.8" x14ac:dyDescent="0.3">
      <c r="A13" s="14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5" x14ac:dyDescent="0.25">
      <c r="A14" s="2"/>
      <c r="B14" s="15" t="s">
        <v>13</v>
      </c>
      <c r="C14" s="15"/>
      <c r="D14" s="15"/>
      <c r="E14" s="15"/>
      <c r="F14" s="15"/>
      <c r="G14" s="15"/>
      <c r="H14" s="15"/>
      <c r="I14" s="15"/>
      <c r="J14" s="15"/>
      <c r="K14" s="15"/>
    </row>
    <row r="15" spans="1:15" x14ac:dyDescent="0.25">
      <c r="A15" s="2"/>
      <c r="B15" s="7"/>
      <c r="C15" s="7"/>
      <c r="D15" s="7"/>
      <c r="E15" s="7"/>
      <c r="F15" s="7"/>
      <c r="G15" s="7"/>
      <c r="H15" s="7"/>
      <c r="I15" s="7"/>
      <c r="J15" s="7"/>
      <c r="K15" s="7"/>
    </row>
    <row r="16" spans="1:15" ht="13.35" customHeight="1" x14ac:dyDescent="0.25">
      <c r="A16" s="2"/>
      <c r="B16" s="17" t="s">
        <v>14</v>
      </c>
      <c r="C16" s="17"/>
      <c r="D16" s="17"/>
      <c r="E16" s="17"/>
      <c r="F16" s="17"/>
      <c r="G16" s="17"/>
      <c r="H16" s="17"/>
      <c r="I16" s="17"/>
      <c r="J16" s="17"/>
      <c r="K16" s="17"/>
    </row>
    <row r="17" spans="1:11" x14ac:dyDescent="0.25">
      <c r="A17" s="2"/>
      <c r="B17" s="7"/>
      <c r="C17" s="7"/>
      <c r="D17" s="7"/>
      <c r="E17" s="7"/>
      <c r="F17" s="7"/>
      <c r="G17" s="7"/>
      <c r="H17" s="7"/>
      <c r="I17" s="7"/>
      <c r="J17" s="7"/>
      <c r="K17" s="7"/>
    </row>
    <row r="18" spans="1:11" x14ac:dyDescent="0.25">
      <c r="A18" s="18" t="s">
        <v>15</v>
      </c>
      <c r="B18" s="2"/>
      <c r="C18" s="2"/>
      <c r="D18" s="2"/>
      <c r="E18" s="2"/>
      <c r="F18" s="2"/>
      <c r="G18" s="19"/>
      <c r="H18" s="19"/>
      <c r="I18" s="2"/>
      <c r="J18" s="2"/>
      <c r="K18" s="2"/>
    </row>
    <row r="19" spans="1:11" x14ac:dyDescent="0.25">
      <c r="A19" s="1"/>
      <c r="B19" s="2"/>
      <c r="C19" s="2"/>
      <c r="D19" s="2"/>
      <c r="E19" s="2"/>
      <c r="F19" s="2"/>
      <c r="G19" s="2"/>
      <c r="H19" s="2"/>
      <c r="I19" s="2"/>
      <c r="J19" s="2"/>
      <c r="K19" s="2"/>
    </row>
    <row r="20" spans="1:11" x14ac:dyDescent="0.25">
      <c r="A20" s="1" t="s">
        <v>16</v>
      </c>
      <c r="B20" s="1"/>
      <c r="C20" s="20" t="str">
        <f>+C4</f>
        <v>University Hills</v>
      </c>
      <c r="D20" s="20"/>
      <c r="E20" s="20"/>
      <c r="F20" s="20"/>
      <c r="G20" s="2"/>
      <c r="H20" s="21" t="s">
        <v>17</v>
      </c>
      <c r="I20" s="22">
        <f>+G4</f>
        <v>61</v>
      </c>
      <c r="J20" s="22"/>
      <c r="K20" s="22"/>
    </row>
    <row r="21" spans="1:11" ht="13.8" x14ac:dyDescent="0.25">
      <c r="A21" s="23"/>
      <c r="B21" s="2"/>
      <c r="C21" s="2"/>
      <c r="D21" s="2"/>
      <c r="E21" s="2"/>
      <c r="F21" s="2"/>
      <c r="G21" s="2"/>
      <c r="H21" s="2"/>
      <c r="I21" s="2"/>
      <c r="J21" s="2"/>
      <c r="K21" s="2"/>
    </row>
    <row r="22" spans="1:11" ht="14.4" x14ac:dyDescent="0.3">
      <c r="A22" s="1" t="s">
        <v>18</v>
      </c>
      <c r="B22" s="1"/>
      <c r="C22" s="20" t="str">
        <f>+C2</f>
        <v>Marshalls of MA, Inc.</v>
      </c>
      <c r="D22" s="20"/>
      <c r="E22" s="20"/>
      <c r="F22" s="20"/>
      <c r="G22" s="2"/>
      <c r="H22" s="21" t="s">
        <v>19</v>
      </c>
      <c r="I22" s="24">
        <f>+C6</f>
        <v>22821</v>
      </c>
      <c r="J22" s="24"/>
      <c r="K22" s="24"/>
    </row>
    <row r="23" spans="1:11" x14ac:dyDescent="0.25">
      <c r="A23" s="1"/>
      <c r="B23" s="2"/>
      <c r="C23" s="2"/>
      <c r="D23" s="2"/>
      <c r="E23" s="2"/>
      <c r="F23" s="2"/>
      <c r="G23" s="2"/>
      <c r="H23" s="2"/>
      <c r="I23" s="2"/>
      <c r="J23" s="2"/>
      <c r="K23" s="2"/>
    </row>
    <row r="24" spans="1:11" x14ac:dyDescent="0.25">
      <c r="A24" s="1" t="s">
        <v>20</v>
      </c>
      <c r="B24" s="20" t="str">
        <f>+I2</f>
        <v>Marshalls of MA, Inc.</v>
      </c>
      <c r="C24" s="20"/>
      <c r="D24" s="20"/>
      <c r="E24" s="20"/>
      <c r="F24" s="20"/>
      <c r="G24" s="20"/>
      <c r="H24" s="20"/>
      <c r="I24" s="2"/>
      <c r="J24" s="2"/>
      <c r="K24" s="2"/>
    </row>
    <row r="25" spans="1:11" ht="13.8" thickBot="1" x14ac:dyDescent="0.3">
      <c r="A25" s="1"/>
      <c r="B25" s="2"/>
      <c r="C25" s="2"/>
      <c r="D25" s="2"/>
      <c r="E25" s="2"/>
      <c r="F25" s="2"/>
      <c r="G25" s="2"/>
      <c r="H25" s="2"/>
      <c r="I25" s="2"/>
      <c r="J25" s="2"/>
      <c r="K25" s="2"/>
    </row>
    <row r="26" spans="1:11" x14ac:dyDescent="0.25">
      <c r="A26" s="25" t="s">
        <v>21</v>
      </c>
      <c r="B26" s="26"/>
      <c r="C26" s="26"/>
      <c r="D26" s="26"/>
      <c r="E26" s="26"/>
      <c r="F26" s="26"/>
      <c r="G26" s="26"/>
      <c r="H26" s="26"/>
      <c r="I26" s="26"/>
      <c r="J26" s="26"/>
      <c r="K26" s="26"/>
    </row>
    <row r="27" spans="1:11" x14ac:dyDescent="0.25">
      <c r="A27" s="1"/>
      <c r="B27" s="2"/>
      <c r="C27" s="2"/>
      <c r="D27" s="2"/>
      <c r="E27" s="2"/>
      <c r="F27" s="2"/>
      <c r="G27" s="2"/>
      <c r="H27" s="2"/>
      <c r="I27" s="2"/>
      <c r="J27" s="2"/>
      <c r="K27" s="2"/>
    </row>
    <row r="28" spans="1:11" x14ac:dyDescent="0.25">
      <c r="A28" s="1"/>
      <c r="B28" s="2"/>
      <c r="C28" s="2"/>
      <c r="D28" s="2"/>
      <c r="E28" s="2"/>
      <c r="F28" s="2"/>
      <c r="G28" s="2"/>
      <c r="H28" s="2"/>
      <c r="I28" s="2"/>
      <c r="J28" s="2"/>
      <c r="K28" s="2"/>
    </row>
    <row r="29" spans="1:11" x14ac:dyDescent="0.25">
      <c r="A29" s="27" t="s">
        <v>22</v>
      </c>
      <c r="B29" s="28"/>
      <c r="C29" s="28"/>
      <c r="D29" s="28"/>
      <c r="E29" s="28"/>
      <c r="F29" s="2"/>
      <c r="G29" s="27" t="s">
        <v>23</v>
      </c>
      <c r="H29" s="28"/>
      <c r="I29" s="28"/>
      <c r="J29" s="28"/>
      <c r="K29" s="28"/>
    </row>
    <row r="30" spans="1:11" x14ac:dyDescent="0.25">
      <c r="A30" s="1" t="s">
        <v>24</v>
      </c>
      <c r="B30" s="2"/>
      <c r="C30" s="29">
        <v>42318</v>
      </c>
      <c r="D30" s="30"/>
      <c r="E30" s="31"/>
      <c r="F30" s="7"/>
      <c r="G30" s="5" t="s">
        <v>25</v>
      </c>
      <c r="H30" s="7"/>
      <c r="I30" s="32" t="s">
        <v>26</v>
      </c>
      <c r="J30" s="32"/>
      <c r="K30" s="33"/>
    </row>
    <row r="31" spans="1:11" x14ac:dyDescent="0.25">
      <c r="A31" s="1" t="s">
        <v>27</v>
      </c>
      <c r="B31" s="2"/>
      <c r="C31" s="30" t="s">
        <v>28</v>
      </c>
      <c r="D31" s="32"/>
      <c r="E31" s="34"/>
      <c r="F31" s="7"/>
      <c r="G31" s="5" t="s">
        <v>29</v>
      </c>
      <c r="H31" s="7"/>
      <c r="I31" s="32" t="s">
        <v>26</v>
      </c>
      <c r="J31" s="32"/>
      <c r="K31" s="33"/>
    </row>
    <row r="32" spans="1:11" x14ac:dyDescent="0.25">
      <c r="A32" s="1" t="s">
        <v>30</v>
      </c>
      <c r="B32" s="2"/>
      <c r="C32" s="29">
        <v>42600</v>
      </c>
      <c r="D32" s="30"/>
      <c r="E32" s="35"/>
      <c r="F32" s="7"/>
      <c r="G32" s="36" t="s">
        <v>31</v>
      </c>
      <c r="H32" s="7"/>
      <c r="I32" s="32" t="s">
        <v>26</v>
      </c>
      <c r="J32" s="32"/>
      <c r="K32" s="33"/>
    </row>
    <row r="33" spans="1:15" x14ac:dyDescent="0.25">
      <c r="A33" s="1" t="s">
        <v>32</v>
      </c>
      <c r="B33" s="2"/>
      <c r="C33" s="30" t="s">
        <v>28</v>
      </c>
      <c r="D33" s="32"/>
      <c r="E33" s="11"/>
      <c r="F33" s="7"/>
      <c r="G33" s="5" t="s">
        <v>33</v>
      </c>
      <c r="H33" s="7"/>
      <c r="I33" s="32" t="s">
        <v>26</v>
      </c>
      <c r="J33" s="32"/>
      <c r="K33" s="33"/>
    </row>
    <row r="34" spans="1:15" x14ac:dyDescent="0.25">
      <c r="A34" s="1" t="s">
        <v>34</v>
      </c>
      <c r="B34" s="2"/>
      <c r="C34" s="30" t="s">
        <v>28</v>
      </c>
      <c r="D34" s="32"/>
      <c r="E34" s="11"/>
      <c r="F34" s="7"/>
      <c r="G34" s="7"/>
      <c r="H34" s="7"/>
      <c r="I34" s="37"/>
      <c r="J34" s="37"/>
      <c r="K34" s="7"/>
    </row>
    <row r="35" spans="1:15" x14ac:dyDescent="0.25">
      <c r="A35" s="1" t="s">
        <v>35</v>
      </c>
      <c r="B35" s="2"/>
      <c r="C35" s="29">
        <v>46265</v>
      </c>
      <c r="D35" s="30"/>
      <c r="E35" s="35"/>
      <c r="F35" s="7"/>
      <c r="G35" s="5" t="s">
        <v>36</v>
      </c>
      <c r="H35" s="7"/>
      <c r="I35" s="32" t="s">
        <v>26</v>
      </c>
      <c r="J35" s="32"/>
      <c r="K35" s="5"/>
      <c r="O35" s="38"/>
    </row>
    <row r="36" spans="1:15" x14ac:dyDescent="0.25">
      <c r="A36" s="1" t="s">
        <v>37</v>
      </c>
      <c r="B36" s="2"/>
      <c r="C36" s="29">
        <v>42600</v>
      </c>
      <c r="D36" s="30"/>
      <c r="E36" s="39"/>
      <c r="F36" s="7"/>
      <c r="G36" s="5" t="s">
        <v>38</v>
      </c>
      <c r="H36" s="7"/>
      <c r="I36" s="40" t="s">
        <v>39</v>
      </c>
      <c r="J36" s="40" t="s">
        <v>40</v>
      </c>
      <c r="K36" s="9" t="s">
        <v>41</v>
      </c>
    </row>
    <row r="37" spans="1:15" ht="13.8" thickBot="1" x14ac:dyDescent="0.3">
      <c r="A37" s="1"/>
      <c r="B37" s="2"/>
      <c r="C37" s="41"/>
      <c r="D37" s="42"/>
      <c r="E37" s="36"/>
      <c r="F37" s="7"/>
      <c r="G37" s="5"/>
      <c r="H37" s="7"/>
      <c r="I37" s="7"/>
      <c r="J37" s="7"/>
      <c r="K37" s="7"/>
    </row>
    <row r="38" spans="1:15" ht="13.8" x14ac:dyDescent="0.3">
      <c r="A38" s="43" t="s">
        <v>42</v>
      </c>
      <c r="B38" s="44"/>
      <c r="C38" s="44"/>
      <c r="D38" s="44"/>
      <c r="E38" s="44"/>
      <c r="F38" s="44"/>
      <c r="G38" s="44"/>
      <c r="H38" s="44"/>
      <c r="I38" s="44"/>
      <c r="J38" s="44"/>
      <c r="K38" s="45"/>
    </row>
    <row r="39" spans="1:15" x14ac:dyDescent="0.25">
      <c r="A39" s="46"/>
      <c r="B39" s="46"/>
      <c r="C39" s="46"/>
      <c r="D39" s="46"/>
      <c r="E39" s="46"/>
      <c r="F39" s="46"/>
      <c r="G39" s="46"/>
      <c r="H39" s="46"/>
      <c r="I39" s="46"/>
      <c r="J39" s="46"/>
    </row>
    <row r="40" spans="1:15" x14ac:dyDescent="0.25">
      <c r="A40" s="46" t="s">
        <v>43</v>
      </c>
      <c r="B40" s="46"/>
      <c r="C40" s="47" t="s">
        <v>44</v>
      </c>
      <c r="D40" s="48" t="s">
        <v>45</v>
      </c>
      <c r="E40" s="46"/>
      <c r="F40" s="46"/>
      <c r="G40" s="46"/>
      <c r="H40" s="46"/>
      <c r="I40" s="46"/>
      <c r="J40" s="46"/>
    </row>
    <row r="41" spans="1:15" x14ac:dyDescent="0.25">
      <c r="A41" s="46" t="s">
        <v>46</v>
      </c>
      <c r="B41" s="46"/>
      <c r="C41" s="16" t="s">
        <v>1</v>
      </c>
      <c r="D41" s="15"/>
      <c r="E41" s="15"/>
      <c r="F41" s="15"/>
      <c r="G41" s="15"/>
      <c r="H41" s="15"/>
      <c r="I41" s="15"/>
      <c r="J41" s="46"/>
    </row>
    <row r="42" spans="1:15" x14ac:dyDescent="0.25">
      <c r="A42" s="46" t="s">
        <v>47</v>
      </c>
      <c r="B42" s="46"/>
      <c r="C42" s="15" t="s">
        <v>48</v>
      </c>
      <c r="D42" s="15"/>
      <c r="E42" s="15"/>
      <c r="F42" s="15"/>
      <c r="G42" s="15"/>
      <c r="H42" s="15"/>
      <c r="I42" s="15"/>
      <c r="J42" s="46"/>
    </row>
    <row r="43" spans="1:15" x14ac:dyDescent="0.25">
      <c r="A43" s="46" t="s">
        <v>49</v>
      </c>
      <c r="B43" s="46"/>
      <c r="C43" s="15" t="s">
        <v>50</v>
      </c>
      <c r="D43" s="15"/>
      <c r="E43" s="15"/>
      <c r="F43" s="15"/>
      <c r="G43" s="15"/>
      <c r="H43" s="15"/>
      <c r="I43" s="15"/>
      <c r="J43" s="46"/>
    </row>
    <row r="44" spans="1:15" x14ac:dyDescent="0.25">
      <c r="A44" s="46" t="s">
        <v>49</v>
      </c>
      <c r="B44" s="46"/>
      <c r="C44" s="15" t="s">
        <v>51</v>
      </c>
      <c r="D44" s="15"/>
      <c r="E44" s="15"/>
      <c r="F44" s="15"/>
      <c r="G44" s="15"/>
      <c r="H44" s="15"/>
      <c r="I44" s="15"/>
      <c r="J44" s="46"/>
    </row>
    <row r="45" spans="1:15" x14ac:dyDescent="0.25">
      <c r="A45" s="46" t="s">
        <v>52</v>
      </c>
      <c r="B45" s="46"/>
      <c r="C45" s="49" t="s">
        <v>53</v>
      </c>
      <c r="D45" s="49"/>
      <c r="E45" s="49"/>
      <c r="F45" s="50" t="s">
        <v>54</v>
      </c>
      <c r="G45" s="51" t="s">
        <v>55</v>
      </c>
      <c r="H45" s="50" t="s">
        <v>56</v>
      </c>
      <c r="I45" s="52" t="s">
        <v>57</v>
      </c>
      <c r="J45" s="46"/>
    </row>
    <row r="46" spans="1:15" x14ac:dyDescent="0.25">
      <c r="A46" s="46"/>
      <c r="B46" s="46"/>
      <c r="C46" s="46"/>
      <c r="D46" s="46"/>
      <c r="E46" s="46"/>
      <c r="F46" s="50"/>
      <c r="G46" s="53"/>
      <c r="H46" s="50"/>
      <c r="I46" s="54"/>
      <c r="J46" s="46"/>
    </row>
    <row r="47" spans="1:15" x14ac:dyDescent="0.25">
      <c r="A47" s="46" t="s">
        <v>43</v>
      </c>
      <c r="B47" s="46"/>
      <c r="C47" s="47" t="s">
        <v>58</v>
      </c>
      <c r="D47" s="48" t="s">
        <v>45</v>
      </c>
      <c r="E47" s="46"/>
      <c r="F47" s="46"/>
      <c r="G47" s="46"/>
      <c r="H47" s="46"/>
      <c r="I47" s="46"/>
      <c r="J47" s="46"/>
    </row>
    <row r="48" spans="1:15" x14ac:dyDescent="0.25">
      <c r="A48" s="46" t="s">
        <v>46</v>
      </c>
      <c r="B48" s="46"/>
      <c r="C48" s="16" t="s">
        <v>1</v>
      </c>
      <c r="D48" s="15"/>
      <c r="E48" s="15"/>
      <c r="F48" s="15"/>
      <c r="G48" s="15"/>
      <c r="H48" s="15"/>
      <c r="I48" s="15"/>
      <c r="J48" s="46"/>
    </row>
    <row r="49" spans="1:13" x14ac:dyDescent="0.25">
      <c r="A49" s="46" t="s">
        <v>47</v>
      </c>
      <c r="B49" s="46"/>
      <c r="C49" s="15" t="s">
        <v>59</v>
      </c>
      <c r="D49" s="15"/>
      <c r="E49" s="15"/>
      <c r="F49" s="15"/>
      <c r="G49" s="15"/>
      <c r="H49" s="15"/>
      <c r="I49" s="15"/>
      <c r="J49" s="46"/>
    </row>
    <row r="50" spans="1:13" x14ac:dyDescent="0.25">
      <c r="A50" s="46" t="s">
        <v>49</v>
      </c>
      <c r="B50" s="46"/>
      <c r="C50" s="15" t="s">
        <v>50</v>
      </c>
      <c r="D50" s="15"/>
      <c r="E50" s="15"/>
      <c r="F50" s="15"/>
      <c r="G50" s="15"/>
      <c r="H50" s="15"/>
      <c r="I50" s="15"/>
      <c r="J50" s="46"/>
    </row>
    <row r="51" spans="1:13" x14ac:dyDescent="0.25">
      <c r="A51" s="46" t="s">
        <v>49</v>
      </c>
      <c r="B51" s="46"/>
      <c r="C51" s="15"/>
      <c r="D51" s="15"/>
      <c r="E51" s="15"/>
      <c r="F51" s="15"/>
      <c r="G51" s="15"/>
      <c r="H51" s="15"/>
      <c r="I51" s="15"/>
      <c r="J51" s="46"/>
    </row>
    <row r="52" spans="1:13" x14ac:dyDescent="0.25">
      <c r="A52" s="46" t="s">
        <v>52</v>
      </c>
      <c r="B52" s="46"/>
      <c r="C52" s="49" t="s">
        <v>53</v>
      </c>
      <c r="D52" s="49"/>
      <c r="E52" s="49"/>
      <c r="F52" s="50"/>
      <c r="G52" s="51" t="s">
        <v>55</v>
      </c>
      <c r="H52" s="50"/>
      <c r="I52" s="52" t="s">
        <v>57</v>
      </c>
      <c r="J52" s="46"/>
    </row>
    <row r="53" spans="1:13" ht="14.25" customHeight="1" x14ac:dyDescent="0.25">
      <c r="A53" s="46"/>
      <c r="B53" s="46"/>
      <c r="C53" s="46"/>
      <c r="D53" s="46"/>
      <c r="E53" s="46"/>
      <c r="F53" s="50"/>
      <c r="G53" s="53"/>
      <c r="H53" s="50"/>
      <c r="I53" s="55"/>
      <c r="J53" s="46"/>
    </row>
    <row r="54" spans="1:13" ht="14.25" customHeight="1" x14ac:dyDescent="0.25">
      <c r="A54" s="46" t="s">
        <v>43</v>
      </c>
      <c r="B54" s="46"/>
      <c r="C54" s="47" t="s">
        <v>60</v>
      </c>
      <c r="D54" s="48" t="s">
        <v>45</v>
      </c>
      <c r="E54" s="46"/>
      <c r="F54" s="46"/>
      <c r="G54" s="46"/>
      <c r="H54" s="46"/>
      <c r="I54" s="46"/>
      <c r="J54" s="46"/>
    </row>
    <row r="55" spans="1:13" ht="14.25" customHeight="1" x14ac:dyDescent="0.25">
      <c r="A55" s="46" t="s">
        <v>46</v>
      </c>
      <c r="B55" s="46"/>
      <c r="C55" s="16" t="s">
        <v>61</v>
      </c>
      <c r="D55" s="15"/>
      <c r="E55" s="15"/>
      <c r="F55" s="15"/>
      <c r="G55" s="15"/>
      <c r="H55" s="15"/>
      <c r="I55" s="15"/>
      <c r="J55" s="46"/>
    </row>
    <row r="56" spans="1:13" ht="14.25" customHeight="1" x14ac:dyDescent="0.25">
      <c r="A56" s="46" t="s">
        <v>47</v>
      </c>
      <c r="B56" s="46"/>
      <c r="C56" s="56" t="s">
        <v>62</v>
      </c>
      <c r="D56" s="56"/>
      <c r="E56" s="56"/>
      <c r="F56" s="56"/>
      <c r="G56" s="56"/>
      <c r="H56" s="56"/>
      <c r="I56" s="56"/>
      <c r="J56" s="46"/>
    </row>
    <row r="57" spans="1:13" ht="14.25" customHeight="1" x14ac:dyDescent="0.25">
      <c r="A57" s="46" t="s">
        <v>49</v>
      </c>
      <c r="B57" s="46"/>
      <c r="C57" s="16" t="s">
        <v>50</v>
      </c>
      <c r="D57" s="15"/>
      <c r="E57" s="15"/>
      <c r="F57" s="15"/>
      <c r="G57" s="15"/>
      <c r="H57" s="15"/>
      <c r="I57" s="15"/>
      <c r="J57" s="46"/>
    </row>
    <row r="58" spans="1:13" ht="14.25" customHeight="1" x14ac:dyDescent="0.25">
      <c r="A58" s="46" t="s">
        <v>49</v>
      </c>
      <c r="B58" s="46"/>
      <c r="C58" s="15" t="s">
        <v>63</v>
      </c>
      <c r="D58" s="15"/>
      <c r="E58" s="15"/>
      <c r="F58" s="15"/>
      <c r="G58" s="15"/>
      <c r="H58" s="15"/>
      <c r="I58" s="15"/>
      <c r="J58" s="46"/>
    </row>
    <row r="59" spans="1:13" ht="14.25" customHeight="1" x14ac:dyDescent="0.25">
      <c r="A59" s="46" t="s">
        <v>52</v>
      </c>
      <c r="B59" s="46"/>
      <c r="C59" s="49" t="s">
        <v>53</v>
      </c>
      <c r="D59" s="49"/>
      <c r="E59" s="49"/>
      <c r="F59" s="50" t="s">
        <v>54</v>
      </c>
      <c r="G59" s="51" t="s">
        <v>55</v>
      </c>
      <c r="H59" s="50" t="s">
        <v>56</v>
      </c>
      <c r="I59" s="52" t="s">
        <v>57</v>
      </c>
      <c r="J59" s="46"/>
    </row>
    <row r="60" spans="1:13" ht="14.25" customHeight="1" thickBot="1" x14ac:dyDescent="0.3">
      <c r="A60" s="46"/>
      <c r="B60" s="46"/>
      <c r="C60" s="46"/>
      <c r="D60" s="46"/>
      <c r="E60" s="46"/>
      <c r="F60" s="50"/>
      <c r="G60" s="53"/>
      <c r="H60" s="57"/>
      <c r="I60" s="55"/>
      <c r="J60" s="46"/>
    </row>
    <row r="61" spans="1:13" ht="11.25" customHeight="1" x14ac:dyDescent="0.25">
      <c r="A61" s="58" t="s">
        <v>64</v>
      </c>
      <c r="B61" s="45"/>
      <c r="C61" s="45"/>
      <c r="D61" s="45"/>
      <c r="E61" s="45"/>
      <c r="F61" s="45"/>
      <c r="G61" s="45"/>
      <c r="I61" s="45" t="s">
        <v>65</v>
      </c>
      <c r="J61" s="45"/>
      <c r="K61" s="45"/>
      <c r="M61" s="59" t="s">
        <v>65</v>
      </c>
    </row>
    <row r="62" spans="1:13" x14ac:dyDescent="0.25">
      <c r="A62" s="60"/>
    </row>
    <row r="63" spans="1:13" x14ac:dyDescent="0.25">
      <c r="A63" s="60"/>
    </row>
    <row r="64" spans="1:13" x14ac:dyDescent="0.25">
      <c r="A64" s="59" t="s">
        <v>66</v>
      </c>
      <c r="B64" s="59" t="s">
        <v>66</v>
      </c>
      <c r="C64" s="59" t="s">
        <v>66</v>
      </c>
      <c r="D64" s="59" t="s">
        <v>67</v>
      </c>
      <c r="E64" s="59" t="s">
        <v>68</v>
      </c>
      <c r="F64" s="59" t="s">
        <v>69</v>
      </c>
      <c r="G64" s="59" t="s">
        <v>70</v>
      </c>
      <c r="H64" s="59" t="s">
        <v>71</v>
      </c>
      <c r="I64" s="59" t="s">
        <v>71</v>
      </c>
      <c r="J64" s="59" t="s">
        <v>72</v>
      </c>
    </row>
    <row r="65" spans="1:16" x14ac:dyDescent="0.25">
      <c r="A65" s="59" t="s">
        <v>73</v>
      </c>
      <c r="B65" s="59" t="s">
        <v>74</v>
      </c>
      <c r="C65" s="59" t="s">
        <v>75</v>
      </c>
      <c r="D65" s="59" t="s">
        <v>74</v>
      </c>
      <c r="E65" s="59" t="s">
        <v>76</v>
      </c>
      <c r="F65" s="59" t="s">
        <v>77</v>
      </c>
      <c r="G65" s="59" t="s">
        <v>78</v>
      </c>
      <c r="H65" s="59" t="s">
        <v>79</v>
      </c>
      <c r="I65" s="59" t="s">
        <v>80</v>
      </c>
      <c r="J65" s="59" t="s">
        <v>74</v>
      </c>
    </row>
    <row r="66" spans="1:16" x14ac:dyDescent="0.25">
      <c r="A66" s="46"/>
    </row>
    <row r="67" spans="1:16" ht="14.4" x14ac:dyDescent="0.3">
      <c r="A67" s="53">
        <v>1</v>
      </c>
      <c r="B67" s="61">
        <v>46266</v>
      </c>
      <c r="C67" s="62" t="s">
        <v>81</v>
      </c>
      <c r="D67" s="61">
        <v>46081</v>
      </c>
      <c r="E67" s="63">
        <f>+G4</f>
        <v>61</v>
      </c>
      <c r="F67" s="64">
        <f>+C6</f>
        <v>22821</v>
      </c>
      <c r="G67" s="62">
        <v>60</v>
      </c>
      <c r="H67" s="65">
        <v>18</v>
      </c>
      <c r="I67" s="66" t="s">
        <v>82</v>
      </c>
      <c r="J67" s="61">
        <v>48091</v>
      </c>
    </row>
    <row r="68" spans="1:16" ht="14.4" x14ac:dyDescent="0.3">
      <c r="A68" s="53">
        <v>2</v>
      </c>
      <c r="B68" s="61">
        <v>48092</v>
      </c>
      <c r="C68" s="62" t="s">
        <v>81</v>
      </c>
      <c r="D68" s="61">
        <v>47907</v>
      </c>
      <c r="E68" s="63">
        <f>+G4</f>
        <v>61</v>
      </c>
      <c r="F68" s="64">
        <f>+C6</f>
        <v>22821</v>
      </c>
      <c r="G68" s="62">
        <v>60</v>
      </c>
      <c r="H68" s="65">
        <v>19</v>
      </c>
      <c r="I68" s="66" t="s">
        <v>82</v>
      </c>
      <c r="J68" s="61">
        <v>49918</v>
      </c>
    </row>
    <row r="69" spans="1:16" ht="14.4" x14ac:dyDescent="0.3">
      <c r="A69" s="53">
        <v>3</v>
      </c>
      <c r="B69" s="61">
        <v>49919</v>
      </c>
      <c r="C69" s="62" t="s">
        <v>81</v>
      </c>
      <c r="D69" s="61">
        <v>49734</v>
      </c>
      <c r="E69" s="63">
        <f>+G4</f>
        <v>61</v>
      </c>
      <c r="F69" s="64">
        <f>+C6</f>
        <v>22821</v>
      </c>
      <c r="G69" s="62">
        <v>60</v>
      </c>
      <c r="H69" s="65">
        <v>20</v>
      </c>
      <c r="I69" s="66" t="s">
        <v>82</v>
      </c>
      <c r="J69" s="61">
        <v>51744</v>
      </c>
    </row>
    <row r="70" spans="1:16" ht="14.4" x14ac:dyDescent="0.3">
      <c r="A70" s="53">
        <v>4</v>
      </c>
      <c r="B70" s="61">
        <v>51745</v>
      </c>
      <c r="C70" s="62" t="s">
        <v>81</v>
      </c>
      <c r="D70" s="61">
        <v>51560</v>
      </c>
      <c r="E70" s="63">
        <f>+G4</f>
        <v>61</v>
      </c>
      <c r="F70" s="64">
        <f>+C6</f>
        <v>22821</v>
      </c>
      <c r="G70" s="62">
        <v>60</v>
      </c>
      <c r="H70" s="65">
        <v>21</v>
      </c>
      <c r="I70" s="66" t="s">
        <v>82</v>
      </c>
      <c r="J70" s="61">
        <v>53570</v>
      </c>
    </row>
    <row r="71" spans="1:16" ht="14.4" x14ac:dyDescent="0.3">
      <c r="A71" s="53"/>
      <c r="B71" s="67"/>
      <c r="C71" s="59"/>
      <c r="D71" s="67"/>
      <c r="E71" s="68"/>
      <c r="F71" s="69"/>
      <c r="G71" s="59"/>
      <c r="H71" s="70"/>
      <c r="I71" s="71"/>
      <c r="J71" s="67"/>
    </row>
    <row r="72" spans="1:16" x14ac:dyDescent="0.25">
      <c r="A72" s="53"/>
      <c r="B72" s="46" t="s">
        <v>83</v>
      </c>
      <c r="D72" s="72" t="s">
        <v>84</v>
      </c>
      <c r="E72" s="73"/>
      <c r="F72" s="73"/>
      <c r="G72" s="73"/>
      <c r="H72" s="73"/>
      <c r="I72" s="73"/>
      <c r="J72" s="73"/>
      <c r="M72" s="74"/>
      <c r="O72" s="75"/>
      <c r="P72" s="75"/>
    </row>
    <row r="73" spans="1:16" x14ac:dyDescent="0.25">
      <c r="A73" s="53"/>
      <c r="B73" s="46"/>
      <c r="D73" s="76" t="s">
        <v>85</v>
      </c>
      <c r="E73" s="76"/>
      <c r="F73" s="77"/>
      <c r="G73" s="77"/>
      <c r="H73" s="77"/>
      <c r="I73" s="77"/>
      <c r="J73" s="77"/>
      <c r="K73" s="77"/>
      <c r="L73" s="78"/>
      <c r="M73" s="74"/>
      <c r="O73" s="75"/>
      <c r="P73" s="75"/>
    </row>
    <row r="74" spans="1:16" x14ac:dyDescent="0.25">
      <c r="A74" s="53"/>
      <c r="B74" s="46"/>
      <c r="D74" s="76" t="s">
        <v>86</v>
      </c>
      <c r="E74" s="76"/>
      <c r="F74" s="77"/>
      <c r="G74" s="77"/>
      <c r="H74" s="77"/>
      <c r="I74" s="77"/>
      <c r="J74" s="77"/>
      <c r="K74" s="77"/>
      <c r="L74" s="78"/>
      <c r="M74" s="74"/>
      <c r="O74" s="75"/>
      <c r="P74" s="75"/>
    </row>
    <row r="75" spans="1:16" ht="13.8" thickBot="1" x14ac:dyDescent="0.3">
      <c r="A75" s="53"/>
      <c r="B75" s="46"/>
      <c r="D75" s="79"/>
      <c r="M75" s="80"/>
      <c r="O75" s="75"/>
      <c r="P75" s="75"/>
    </row>
    <row r="76" spans="1:16" x14ac:dyDescent="0.25">
      <c r="A76" s="58" t="s">
        <v>87</v>
      </c>
      <c r="B76" s="45"/>
      <c r="C76" s="45"/>
      <c r="D76" s="45"/>
      <c r="E76" s="45"/>
      <c r="F76" s="45"/>
      <c r="G76" s="45"/>
      <c r="H76" s="45"/>
      <c r="I76" s="45"/>
      <c r="J76" s="45"/>
      <c r="K76" s="45"/>
      <c r="O76" s="75"/>
      <c r="P76" s="75"/>
    </row>
    <row r="77" spans="1:16" ht="9" customHeight="1" x14ac:dyDescent="0.25">
      <c r="A77" s="46"/>
      <c r="O77" s="75"/>
      <c r="P77" s="75"/>
    </row>
    <row r="78" spans="1:16" x14ac:dyDescent="0.25">
      <c r="A78" s="53" t="s">
        <v>88</v>
      </c>
      <c r="B78" s="53" t="s">
        <v>89</v>
      </c>
      <c r="C78" s="53" t="s">
        <v>90</v>
      </c>
      <c r="D78" s="53" t="s">
        <v>91</v>
      </c>
      <c r="E78" s="81" t="s">
        <v>91</v>
      </c>
      <c r="F78" s="81"/>
      <c r="G78" s="81" t="s">
        <v>92</v>
      </c>
      <c r="H78" s="81"/>
      <c r="I78" s="82" t="s">
        <v>60</v>
      </c>
      <c r="J78" s="59" t="s">
        <v>93</v>
      </c>
      <c r="K78" s="59"/>
      <c r="O78" s="75"/>
      <c r="P78" s="75"/>
    </row>
    <row r="79" spans="1:16" x14ac:dyDescent="0.25">
      <c r="A79" s="53" t="s">
        <v>94</v>
      </c>
      <c r="B79" s="53" t="s">
        <v>74</v>
      </c>
      <c r="C79" s="53" t="s">
        <v>74</v>
      </c>
      <c r="D79" s="53" t="s">
        <v>95</v>
      </c>
      <c r="E79" s="81" t="s">
        <v>96</v>
      </c>
      <c r="F79" s="81"/>
      <c r="G79" s="83" t="s">
        <v>97</v>
      </c>
      <c r="H79" s="83"/>
      <c r="I79" s="82" t="s">
        <v>98</v>
      </c>
      <c r="J79" s="59" t="s">
        <v>99</v>
      </c>
      <c r="K79" s="59"/>
      <c r="M79" s="3" t="s">
        <v>100</v>
      </c>
      <c r="O79" s="75"/>
      <c r="P79" s="75"/>
    </row>
    <row r="80" spans="1:16" x14ac:dyDescent="0.25">
      <c r="A80" s="53" t="s">
        <v>101</v>
      </c>
      <c r="B80" s="84">
        <v>42600</v>
      </c>
      <c r="C80" s="84">
        <v>44425</v>
      </c>
      <c r="D80" s="85">
        <f>E80/C6</f>
        <v>16</v>
      </c>
      <c r="E80" s="86">
        <v>365136</v>
      </c>
      <c r="F80" s="87"/>
      <c r="G80" s="88">
        <f>E80/12</f>
        <v>30428</v>
      </c>
      <c r="H80" s="88"/>
      <c r="I80" s="89"/>
      <c r="J80" s="90"/>
      <c r="K80" s="91"/>
      <c r="O80" s="75"/>
      <c r="P80" s="75"/>
    </row>
    <row r="81" spans="1:16" x14ac:dyDescent="0.25">
      <c r="A81" s="53" t="s">
        <v>101</v>
      </c>
      <c r="B81" s="84">
        <v>44426</v>
      </c>
      <c r="C81" s="84">
        <v>46265</v>
      </c>
      <c r="D81" s="85">
        <f>E81/C6</f>
        <v>17</v>
      </c>
      <c r="E81" s="86">
        <v>387957</v>
      </c>
      <c r="F81" s="87"/>
      <c r="G81" s="88">
        <f>E81/12</f>
        <v>32329.75</v>
      </c>
      <c r="H81" s="88"/>
      <c r="I81" s="89"/>
      <c r="J81" s="90"/>
      <c r="K81" s="79"/>
      <c r="O81" s="75"/>
      <c r="P81" s="75"/>
    </row>
    <row r="82" spans="1:16" x14ac:dyDescent="0.25">
      <c r="A82" s="53"/>
      <c r="B82" s="79"/>
      <c r="C82" s="79"/>
      <c r="D82" s="79"/>
      <c r="E82" s="79"/>
      <c r="F82" s="79"/>
      <c r="G82" s="79"/>
      <c r="H82" s="79"/>
      <c r="I82" s="79"/>
      <c r="J82" s="79"/>
      <c r="K82" s="79"/>
      <c r="O82" s="75"/>
      <c r="P82" s="75"/>
    </row>
    <row r="83" spans="1:16" x14ac:dyDescent="0.25">
      <c r="A83" s="53" t="s">
        <v>102</v>
      </c>
      <c r="B83" s="79"/>
      <c r="C83" s="79"/>
      <c r="D83" s="79"/>
      <c r="E83" s="79"/>
      <c r="F83" s="79"/>
      <c r="G83" s="79"/>
      <c r="H83" s="79"/>
      <c r="I83" s="79"/>
      <c r="J83" s="79"/>
      <c r="K83" s="79"/>
      <c r="O83" s="75"/>
      <c r="P83" s="75"/>
    </row>
    <row r="84" spans="1:16" x14ac:dyDescent="0.25">
      <c r="A84" s="53" t="s">
        <v>101</v>
      </c>
      <c r="B84" s="84">
        <v>46266</v>
      </c>
      <c r="C84" s="84">
        <v>48091</v>
      </c>
      <c r="D84" s="85">
        <f>E84/C6</f>
        <v>18</v>
      </c>
      <c r="E84" s="86">
        <v>410778</v>
      </c>
      <c r="F84" s="87"/>
      <c r="G84" s="86">
        <f>E84/12</f>
        <v>34231.5</v>
      </c>
      <c r="H84" s="87"/>
      <c r="I84" s="89"/>
      <c r="J84" s="90"/>
      <c r="K84" s="91"/>
      <c r="O84" s="75"/>
      <c r="P84" s="75"/>
    </row>
    <row r="85" spans="1:16" x14ac:dyDescent="0.25">
      <c r="A85" s="53" t="s">
        <v>103</v>
      </c>
      <c r="B85" s="92"/>
      <c r="C85" s="92"/>
      <c r="D85" s="93"/>
      <c r="E85" s="94"/>
      <c r="F85" s="94"/>
      <c r="G85" s="94"/>
      <c r="H85" s="94"/>
      <c r="I85" s="95"/>
      <c r="J85" s="96"/>
      <c r="K85" s="91"/>
      <c r="O85" s="75"/>
      <c r="P85" s="75"/>
    </row>
    <row r="86" spans="1:16" x14ac:dyDescent="0.25">
      <c r="A86" s="53" t="s">
        <v>101</v>
      </c>
      <c r="B86" s="84">
        <v>48092</v>
      </c>
      <c r="C86" s="84">
        <v>49918</v>
      </c>
      <c r="D86" s="85">
        <f>E86/C6</f>
        <v>19</v>
      </c>
      <c r="E86" s="88">
        <v>433599</v>
      </c>
      <c r="F86" s="88"/>
      <c r="G86" s="88">
        <f>E86/12</f>
        <v>36133.25</v>
      </c>
      <c r="H86" s="88"/>
      <c r="I86" s="89"/>
      <c r="J86" s="90"/>
      <c r="K86" s="91"/>
      <c r="O86" s="75"/>
      <c r="P86" s="75"/>
    </row>
    <row r="87" spans="1:16" x14ac:dyDescent="0.25">
      <c r="A87" s="53" t="s">
        <v>104</v>
      </c>
      <c r="B87" s="92"/>
      <c r="C87" s="92"/>
      <c r="D87" s="93"/>
      <c r="E87" s="94"/>
      <c r="F87" s="94"/>
      <c r="G87" s="94"/>
      <c r="H87" s="94"/>
      <c r="I87" s="95"/>
      <c r="J87" s="96"/>
      <c r="K87" s="79"/>
      <c r="O87" s="75"/>
      <c r="P87" s="75"/>
    </row>
    <row r="88" spans="1:16" x14ac:dyDescent="0.25">
      <c r="A88" s="53" t="s">
        <v>101</v>
      </c>
      <c r="B88" s="84">
        <v>49919</v>
      </c>
      <c r="C88" s="84">
        <v>51744</v>
      </c>
      <c r="D88" s="85">
        <f>E88/C6</f>
        <v>20</v>
      </c>
      <c r="E88" s="88">
        <v>456420</v>
      </c>
      <c r="F88" s="88"/>
      <c r="G88" s="88">
        <f>E88/12</f>
        <v>38035</v>
      </c>
      <c r="H88" s="88"/>
      <c r="I88" s="89"/>
      <c r="J88" s="90"/>
      <c r="K88" s="91"/>
      <c r="O88" s="75"/>
      <c r="P88" s="75"/>
    </row>
    <row r="89" spans="1:16" x14ac:dyDescent="0.25">
      <c r="A89" s="53" t="s">
        <v>105</v>
      </c>
      <c r="B89" s="92"/>
      <c r="C89" s="92"/>
      <c r="D89" s="93"/>
      <c r="E89" s="94"/>
      <c r="F89" s="94"/>
      <c r="G89" s="94"/>
      <c r="H89" s="94"/>
      <c r="I89" s="95"/>
      <c r="J89" s="96"/>
      <c r="K89" s="97"/>
      <c r="O89" s="75"/>
      <c r="P89" s="75"/>
    </row>
    <row r="90" spans="1:16" x14ac:dyDescent="0.25">
      <c r="A90" s="53" t="s">
        <v>101</v>
      </c>
      <c r="B90" s="84">
        <v>51745</v>
      </c>
      <c r="C90" s="84">
        <v>53570</v>
      </c>
      <c r="D90" s="85">
        <f>E90/C6</f>
        <v>21</v>
      </c>
      <c r="E90" s="88">
        <v>479241</v>
      </c>
      <c r="F90" s="88"/>
      <c r="G90" s="88">
        <f>E90/12</f>
        <v>39936.75</v>
      </c>
      <c r="H90" s="88"/>
      <c r="I90" s="89"/>
      <c r="J90" s="90"/>
      <c r="K90" s="91"/>
      <c r="O90" s="75"/>
      <c r="P90" s="75"/>
    </row>
    <row r="91" spans="1:16" x14ac:dyDescent="0.25">
      <c r="A91" s="53"/>
      <c r="B91" s="53"/>
      <c r="C91" s="53"/>
      <c r="D91" s="53"/>
      <c r="E91" s="53"/>
      <c r="F91" s="53"/>
      <c r="G91" s="53"/>
      <c r="H91" s="53"/>
      <c r="I91" s="53"/>
      <c r="J91" s="53"/>
      <c r="K91" s="53"/>
      <c r="O91" s="75"/>
      <c r="P91" s="75"/>
    </row>
    <row r="92" spans="1:16" x14ac:dyDescent="0.25">
      <c r="A92" s="98" t="s">
        <v>106</v>
      </c>
      <c r="B92" s="99">
        <v>43983</v>
      </c>
      <c r="C92" s="99">
        <v>44074</v>
      </c>
      <c r="D92" s="100" t="s">
        <v>8</v>
      </c>
      <c r="E92" s="101" t="s">
        <v>8</v>
      </c>
      <c r="F92" s="102"/>
      <c r="G92" s="103">
        <f>-G80</f>
        <v>-30428</v>
      </c>
      <c r="H92" s="103"/>
      <c r="I92" s="104"/>
      <c r="J92" s="105"/>
      <c r="K92" s="106"/>
      <c r="M92" s="107"/>
      <c r="N92" s="107"/>
      <c r="O92" s="75"/>
    </row>
    <row r="93" spans="1:16" x14ac:dyDescent="0.25">
      <c r="A93" s="98" t="s">
        <v>107</v>
      </c>
      <c r="B93" s="99">
        <v>44228</v>
      </c>
      <c r="C93" s="99">
        <v>44500</v>
      </c>
      <c r="D93" s="100" t="s">
        <v>8</v>
      </c>
      <c r="E93" s="101" t="s">
        <v>8</v>
      </c>
      <c r="F93" s="102"/>
      <c r="G93" s="103">
        <v>10142.67</v>
      </c>
      <c r="H93" s="103"/>
      <c r="I93" s="104"/>
      <c r="J93" s="62"/>
      <c r="K93" s="106"/>
      <c r="M93" s="108"/>
      <c r="N93" s="107"/>
      <c r="O93" s="75"/>
    </row>
    <row r="94" spans="1:16" ht="13.8" thickBot="1" x14ac:dyDescent="0.3">
      <c r="A94" s="109"/>
      <c r="B94" s="110"/>
      <c r="C94" s="110"/>
      <c r="D94" s="111"/>
      <c r="E94" s="111"/>
      <c r="F94" s="112"/>
      <c r="G94" s="113"/>
      <c r="H94" s="113"/>
      <c r="I94" s="114"/>
      <c r="J94" s="115"/>
      <c r="K94" s="114"/>
      <c r="M94" s="3" t="s">
        <v>108</v>
      </c>
    </row>
    <row r="95" spans="1:16" x14ac:dyDescent="0.25">
      <c r="A95" s="116" t="s">
        <v>109</v>
      </c>
      <c r="D95" s="60"/>
      <c r="G95" s="117" t="s">
        <v>110</v>
      </c>
      <c r="H95" s="117"/>
      <c r="O95" s="75"/>
      <c r="P95" s="75"/>
    </row>
    <row r="96" spans="1:16" ht="9.75" customHeight="1" x14ac:dyDescent="0.25">
      <c r="A96" s="46"/>
      <c r="O96" s="75"/>
      <c r="P96" s="75"/>
    </row>
    <row r="97" spans="1:16" x14ac:dyDescent="0.25">
      <c r="A97" s="46" t="s">
        <v>111</v>
      </c>
      <c r="C97" s="118" t="s">
        <v>92</v>
      </c>
      <c r="D97" s="72"/>
      <c r="E97" s="119" t="s">
        <v>91</v>
      </c>
      <c r="F97" s="120" t="s">
        <v>112</v>
      </c>
      <c r="G97" s="119" t="s">
        <v>113</v>
      </c>
      <c r="H97" s="72"/>
      <c r="I97" s="119" t="s">
        <v>114</v>
      </c>
      <c r="J97" s="73"/>
      <c r="O97" s="75"/>
      <c r="P97" s="75"/>
    </row>
    <row r="98" spans="1:16" ht="9.75" customHeight="1" x14ac:dyDescent="0.25">
      <c r="A98" s="46"/>
      <c r="B98" s="121"/>
      <c r="O98" s="75"/>
      <c r="P98" s="75"/>
    </row>
    <row r="99" spans="1:16" x14ac:dyDescent="0.25">
      <c r="A99" s="46" t="s">
        <v>115</v>
      </c>
      <c r="O99" s="75"/>
      <c r="P99" s="75"/>
    </row>
    <row r="100" spans="1:16" ht="6" customHeight="1" x14ac:dyDescent="0.25">
      <c r="A100" s="46"/>
      <c r="O100" s="75"/>
      <c r="P100" s="75"/>
    </row>
    <row r="101" spans="1:16" x14ac:dyDescent="0.25">
      <c r="A101" s="46" t="s">
        <v>116</v>
      </c>
      <c r="O101" s="75"/>
      <c r="P101" s="75"/>
    </row>
    <row r="102" spans="1:16" ht="6.75" customHeight="1" x14ac:dyDescent="0.25">
      <c r="A102" s="46"/>
      <c r="O102" s="75"/>
      <c r="P102" s="75"/>
    </row>
    <row r="103" spans="1:16" x14ac:dyDescent="0.25">
      <c r="A103" s="46" t="s">
        <v>117</v>
      </c>
      <c r="E103" s="122"/>
      <c r="F103" s="122"/>
      <c r="G103" s="123" t="s">
        <v>118</v>
      </c>
      <c r="O103" s="75"/>
      <c r="P103" s="75"/>
    </row>
    <row r="104" spans="1:16" ht="7.5" customHeight="1" x14ac:dyDescent="0.25">
      <c r="A104" s="46"/>
    </row>
    <row r="105" spans="1:16" x14ac:dyDescent="0.25">
      <c r="A105" s="46" t="s">
        <v>119</v>
      </c>
      <c r="C105" s="46"/>
    </row>
    <row r="106" spans="1:16" ht="10.5" customHeight="1" x14ac:dyDescent="0.25">
      <c r="A106" s="46"/>
    </row>
    <row r="107" spans="1:16" x14ac:dyDescent="0.25">
      <c r="B107" s="50" t="s">
        <v>120</v>
      </c>
      <c r="C107" s="124">
        <v>45322</v>
      </c>
      <c r="D107" s="3" t="s">
        <v>121</v>
      </c>
      <c r="G107" s="46" t="s">
        <v>122</v>
      </c>
    </row>
    <row r="108" spans="1:16" ht="15.6" x14ac:dyDescent="0.3">
      <c r="A108" s="125"/>
      <c r="B108" s="121"/>
    </row>
    <row r="109" spans="1:16" ht="13.8" thickBot="1" x14ac:dyDescent="0.3">
      <c r="A109" s="46" t="s">
        <v>123</v>
      </c>
    </row>
    <row r="110" spans="1:16" x14ac:dyDescent="0.25">
      <c r="A110" s="58" t="s">
        <v>124</v>
      </c>
      <c r="B110" s="45"/>
      <c r="C110" s="45"/>
      <c r="D110" s="45"/>
      <c r="E110" s="45"/>
      <c r="F110" s="45"/>
      <c r="G110" s="126" t="s">
        <v>110</v>
      </c>
      <c r="H110" s="45"/>
      <c r="I110" s="45"/>
      <c r="J110" s="45"/>
      <c r="K110" s="45"/>
    </row>
    <row r="111" spans="1:16" ht="7.5" customHeight="1" x14ac:dyDescent="0.25">
      <c r="A111" s="46"/>
    </row>
    <row r="112" spans="1:16" x14ac:dyDescent="0.25">
      <c r="A112" s="116" t="s">
        <v>125</v>
      </c>
    </row>
    <row r="113" spans="1:11" ht="9.75" customHeight="1" x14ac:dyDescent="0.25">
      <c r="A113" s="46"/>
    </row>
    <row r="114" spans="1:11" x14ac:dyDescent="0.25">
      <c r="A114" s="46" t="s">
        <v>126</v>
      </c>
    </row>
    <row r="115" spans="1:11" x14ac:dyDescent="0.25">
      <c r="A115" s="46"/>
    </row>
    <row r="116" spans="1:11" s="46" customFormat="1" x14ac:dyDescent="0.25">
      <c r="A116" s="46" t="s">
        <v>127</v>
      </c>
      <c r="C116" s="46" t="s">
        <v>128</v>
      </c>
      <c r="D116" s="46" t="s">
        <v>129</v>
      </c>
      <c r="E116" s="46" t="s">
        <v>130</v>
      </c>
      <c r="F116" s="46" t="s">
        <v>114</v>
      </c>
      <c r="H116" s="127" t="s">
        <v>131</v>
      </c>
      <c r="I116" s="128"/>
      <c r="J116" s="17"/>
      <c r="K116" s="129"/>
    </row>
    <row r="117" spans="1:11" x14ac:dyDescent="0.25">
      <c r="A117" s="46"/>
      <c r="H117" s="130"/>
      <c r="I117" s="130"/>
      <c r="J117" s="130"/>
      <c r="K117" s="130"/>
    </row>
    <row r="118" spans="1:11" x14ac:dyDescent="0.25">
      <c r="A118" s="46" t="s">
        <v>132</v>
      </c>
      <c r="F118" s="123"/>
      <c r="H118" s="130"/>
      <c r="I118" s="130"/>
      <c r="J118" s="130"/>
      <c r="K118" s="130"/>
    </row>
    <row r="119" spans="1:11" x14ac:dyDescent="0.25">
      <c r="A119" s="46"/>
    </row>
    <row r="120" spans="1:11" x14ac:dyDescent="0.25">
      <c r="A120" s="46" t="s">
        <v>133</v>
      </c>
      <c r="C120" s="73"/>
      <c r="D120" s="79" t="s">
        <v>134</v>
      </c>
      <c r="G120" s="46" t="s">
        <v>135</v>
      </c>
    </row>
    <row r="121" spans="1:11" x14ac:dyDescent="0.25">
      <c r="A121" s="46" t="s">
        <v>136</v>
      </c>
      <c r="G121" s="46" t="s">
        <v>137</v>
      </c>
    </row>
    <row r="122" spans="1:11" x14ac:dyDescent="0.25">
      <c r="H122" s="46" t="s">
        <v>138</v>
      </c>
    </row>
    <row r="123" spans="1:11" ht="17.100000000000001" customHeight="1" thickBot="1" x14ac:dyDescent="0.3">
      <c r="A123" s="46"/>
    </row>
    <row r="124" spans="1:11" x14ac:dyDescent="0.25">
      <c r="A124" s="58" t="s">
        <v>109</v>
      </c>
      <c r="B124" s="45"/>
      <c r="C124" s="45"/>
      <c r="D124" s="45"/>
      <c r="E124" s="45"/>
      <c r="F124" s="45"/>
      <c r="G124" s="45"/>
      <c r="H124" s="45"/>
      <c r="I124" s="45"/>
      <c r="J124" s="45"/>
      <c r="K124" s="45"/>
    </row>
    <row r="125" spans="1:11" ht="9.75" customHeight="1" x14ac:dyDescent="0.25">
      <c r="A125" s="46"/>
    </row>
    <row r="126" spans="1:11" x14ac:dyDescent="0.25">
      <c r="A126" s="116" t="s">
        <v>139</v>
      </c>
    </row>
    <row r="127" spans="1:11" ht="8.25" customHeight="1" x14ac:dyDescent="0.25">
      <c r="A127" s="46"/>
    </row>
    <row r="128" spans="1:11" x14ac:dyDescent="0.25">
      <c r="A128" s="46" t="s">
        <v>140</v>
      </c>
    </row>
    <row r="129" spans="1:11" ht="7.5" customHeight="1" x14ac:dyDescent="0.25">
      <c r="A129" s="46"/>
    </row>
    <row r="130" spans="1:11" x14ac:dyDescent="0.25">
      <c r="A130" s="17" t="s">
        <v>141</v>
      </c>
      <c r="B130" s="131" t="s">
        <v>142</v>
      </c>
      <c r="C130" s="132" t="s">
        <v>143</v>
      </c>
      <c r="D130" s="132"/>
      <c r="E130" s="73"/>
      <c r="F130" s="131" t="s">
        <v>144</v>
      </c>
      <c r="G130" s="132" t="s">
        <v>145</v>
      </c>
      <c r="H130" s="132"/>
      <c r="I130" s="131" t="s">
        <v>146</v>
      </c>
      <c r="J130" s="132" t="s">
        <v>147</v>
      </c>
      <c r="K130" s="132"/>
    </row>
    <row r="131" spans="1:11" x14ac:dyDescent="0.25">
      <c r="A131" s="84">
        <v>42600</v>
      </c>
      <c r="B131" s="133">
        <v>0.02</v>
      </c>
      <c r="C131" s="134">
        <f>E80/B131</f>
        <v>18256800</v>
      </c>
      <c r="D131" s="134"/>
      <c r="E131" s="134"/>
      <c r="F131" s="131"/>
      <c r="G131" s="47"/>
      <c r="H131" s="47"/>
      <c r="I131" s="131"/>
      <c r="J131" s="47"/>
      <c r="K131" s="47"/>
    </row>
    <row r="132" spans="1:11" x14ac:dyDescent="0.25">
      <c r="A132" s="84">
        <v>44426</v>
      </c>
      <c r="B132" s="133">
        <v>0.02</v>
      </c>
      <c r="C132" s="134">
        <f>E81/B132</f>
        <v>19397850</v>
      </c>
      <c r="D132" s="134"/>
      <c r="E132" s="134"/>
      <c r="F132" s="131"/>
      <c r="G132" s="47"/>
      <c r="H132" s="47"/>
      <c r="I132" s="131"/>
      <c r="J132" s="47"/>
      <c r="K132" s="47"/>
    </row>
    <row r="133" spans="1:11" x14ac:dyDescent="0.25">
      <c r="A133" s="84">
        <v>46266</v>
      </c>
      <c r="B133" s="133">
        <v>0.02</v>
      </c>
      <c r="C133" s="134">
        <f>E84/B133</f>
        <v>20538900</v>
      </c>
      <c r="D133" s="134"/>
      <c r="E133" s="134"/>
      <c r="F133" s="131"/>
      <c r="G133" s="47"/>
      <c r="H133" s="47"/>
      <c r="I133" s="131"/>
      <c r="J133" s="47"/>
      <c r="K133" s="47"/>
    </row>
    <row r="134" spans="1:11" x14ac:dyDescent="0.25">
      <c r="A134" s="84">
        <v>48092</v>
      </c>
      <c r="B134" s="133">
        <v>0.02</v>
      </c>
      <c r="C134" s="134">
        <f>E86/B134</f>
        <v>21679950</v>
      </c>
      <c r="D134" s="134"/>
      <c r="E134" s="134"/>
      <c r="F134" s="131"/>
      <c r="G134" s="47"/>
      <c r="H134" s="47"/>
      <c r="I134" s="131"/>
      <c r="J134" s="47"/>
      <c r="K134" s="47"/>
    </row>
    <row r="135" spans="1:11" x14ac:dyDescent="0.25">
      <c r="A135" s="84">
        <v>49919</v>
      </c>
      <c r="B135" s="133">
        <v>0.02</v>
      </c>
      <c r="C135" s="134">
        <f>E88/B135</f>
        <v>22821000</v>
      </c>
      <c r="D135" s="134"/>
      <c r="E135" s="134"/>
      <c r="F135" s="131"/>
      <c r="G135" s="47"/>
      <c r="H135" s="47"/>
      <c r="I135" s="131"/>
      <c r="J135" s="47"/>
      <c r="K135" s="47"/>
    </row>
    <row r="136" spans="1:11" x14ac:dyDescent="0.25">
      <c r="A136" s="84">
        <v>51745</v>
      </c>
      <c r="B136" s="133">
        <v>0.02</v>
      </c>
      <c r="C136" s="134">
        <f>E90/B136</f>
        <v>23962050</v>
      </c>
      <c r="D136" s="134"/>
      <c r="E136" s="134"/>
      <c r="F136" s="131"/>
      <c r="G136" s="47"/>
      <c r="H136" s="47"/>
      <c r="I136" s="131"/>
      <c r="J136" s="47"/>
      <c r="K136" s="47"/>
    </row>
    <row r="137" spans="1:11" ht="13.8" thickBot="1" x14ac:dyDescent="0.3">
      <c r="A137" s="92"/>
      <c r="B137" s="135"/>
      <c r="C137" s="136"/>
      <c r="D137" s="136"/>
      <c r="E137" s="136"/>
      <c r="F137" s="137"/>
      <c r="G137" s="53"/>
      <c r="H137" s="53"/>
      <c r="I137" s="137"/>
      <c r="J137" s="53"/>
      <c r="K137" s="53"/>
    </row>
    <row r="138" spans="1:11" x14ac:dyDescent="0.25">
      <c r="A138" s="58" t="s">
        <v>148</v>
      </c>
      <c r="B138" s="45"/>
      <c r="C138" s="45"/>
      <c r="D138" s="45"/>
      <c r="E138" s="45"/>
      <c r="F138" s="45"/>
      <c r="G138" s="45"/>
      <c r="H138" s="45"/>
      <c r="I138" s="45"/>
      <c r="J138" s="45"/>
      <c r="K138" s="45"/>
    </row>
    <row r="139" spans="1:11" x14ac:dyDescent="0.25">
      <c r="A139" s="46"/>
    </row>
    <row r="140" spans="1:11" ht="15.6" x14ac:dyDescent="0.3">
      <c r="A140" s="47" t="s">
        <v>149</v>
      </c>
      <c r="B140" s="138" t="s">
        <v>150</v>
      </c>
      <c r="C140" s="139" t="s">
        <v>151</v>
      </c>
      <c r="D140" s="139"/>
      <c r="E140" s="140" t="s">
        <v>152</v>
      </c>
      <c r="F140" s="141"/>
      <c r="G140" s="141"/>
      <c r="H140" s="141"/>
      <c r="I140" s="141"/>
      <c r="J140" s="141"/>
      <c r="K140" s="141"/>
    </row>
    <row r="141" spans="1:11" x14ac:dyDescent="0.25">
      <c r="A141" s="46"/>
      <c r="C141" s="46"/>
      <c r="D141" s="46"/>
      <c r="E141" s="46"/>
      <c r="F141" s="46"/>
      <c r="G141" s="46"/>
    </row>
    <row r="142" spans="1:11" ht="26.1" customHeight="1" x14ac:dyDescent="0.25">
      <c r="A142" s="142" t="s">
        <v>153</v>
      </c>
      <c r="B142" s="46" t="s">
        <v>154</v>
      </c>
      <c r="E142" s="72" t="s">
        <v>155</v>
      </c>
      <c r="F142" s="72"/>
      <c r="G142" s="72"/>
      <c r="H142" s="72"/>
      <c r="I142" s="72"/>
      <c r="J142" s="72"/>
      <c r="K142" s="72"/>
    </row>
    <row r="143" spans="1:11" x14ac:dyDescent="0.25">
      <c r="A143" s="54"/>
      <c r="B143" s="46" t="s">
        <v>156</v>
      </c>
      <c r="E143" s="143"/>
      <c r="F143" s="143"/>
      <c r="G143" s="143"/>
      <c r="H143" s="143"/>
      <c r="I143" s="143"/>
      <c r="J143" s="143"/>
      <c r="K143" s="143"/>
    </row>
    <row r="144" spans="1:11" x14ac:dyDescent="0.25">
      <c r="A144" s="54"/>
      <c r="B144" s="46"/>
      <c r="E144" s="143"/>
      <c r="F144" s="143"/>
      <c r="G144" s="143"/>
      <c r="H144" s="143"/>
      <c r="I144" s="143"/>
      <c r="J144" s="143"/>
      <c r="K144" s="143"/>
    </row>
    <row r="145" spans="1:11" x14ac:dyDescent="0.25">
      <c r="A145" s="144"/>
      <c r="B145" s="46" t="s">
        <v>157</v>
      </c>
      <c r="C145" s="3" t="s">
        <v>158</v>
      </c>
      <c r="D145" s="46"/>
      <c r="E145" s="145" t="s">
        <v>26</v>
      </c>
      <c r="F145" s="72"/>
      <c r="G145" s="72"/>
      <c r="H145" s="72"/>
      <c r="I145" s="72"/>
      <c r="J145" s="72"/>
      <c r="K145" s="72"/>
    </row>
    <row r="146" spans="1:11" x14ac:dyDescent="0.25">
      <c r="A146" s="53"/>
      <c r="E146" s="79"/>
      <c r="F146" s="79"/>
      <c r="G146" s="79"/>
      <c r="H146" s="79"/>
      <c r="I146" s="79"/>
      <c r="J146" s="79"/>
      <c r="K146" s="79"/>
    </row>
    <row r="147" spans="1:11" x14ac:dyDescent="0.25">
      <c r="A147" s="146" t="s">
        <v>159</v>
      </c>
      <c r="B147" s="46" t="s">
        <v>160</v>
      </c>
      <c r="C147" s="3" t="s">
        <v>161</v>
      </c>
      <c r="D147" s="46"/>
      <c r="E147" s="72" t="s">
        <v>162</v>
      </c>
      <c r="F147" s="72"/>
      <c r="G147" s="72"/>
      <c r="H147" s="72"/>
      <c r="I147" s="72"/>
      <c r="J147" s="72"/>
      <c r="K147" s="72"/>
    </row>
    <row r="148" spans="1:11" x14ac:dyDescent="0.25">
      <c r="A148" s="147"/>
      <c r="B148" s="46"/>
      <c r="D148" s="46"/>
      <c r="E148" s="79"/>
      <c r="F148" s="79"/>
      <c r="G148" s="79"/>
      <c r="H148" s="79"/>
      <c r="I148" s="79"/>
      <c r="J148" s="79"/>
      <c r="K148" s="79"/>
    </row>
    <row r="149" spans="1:11" x14ac:dyDescent="0.25">
      <c r="A149" s="131"/>
      <c r="B149" s="46" t="s">
        <v>163</v>
      </c>
      <c r="C149" s="3" t="s">
        <v>164</v>
      </c>
      <c r="E149" s="72" t="s">
        <v>26</v>
      </c>
      <c r="F149" s="72"/>
      <c r="G149" s="72"/>
      <c r="H149" s="72"/>
      <c r="I149" s="72"/>
      <c r="J149" s="72"/>
      <c r="K149" s="72"/>
    </row>
    <row r="150" spans="1:11" x14ac:dyDescent="0.25">
      <c r="A150" s="137"/>
      <c r="B150" s="46"/>
      <c r="E150" s="79"/>
      <c r="F150" s="79"/>
      <c r="G150" s="79"/>
      <c r="H150" s="79"/>
      <c r="I150" s="79"/>
      <c r="J150" s="79"/>
      <c r="K150" s="79"/>
    </row>
    <row r="151" spans="1:11" x14ac:dyDescent="0.25">
      <c r="A151" s="131"/>
      <c r="B151" s="46" t="s">
        <v>165</v>
      </c>
      <c r="C151" s="3" t="s">
        <v>164</v>
      </c>
      <c r="E151" s="72" t="s">
        <v>26</v>
      </c>
      <c r="F151" s="72"/>
      <c r="G151" s="72"/>
      <c r="H151" s="72"/>
      <c r="I151" s="72"/>
      <c r="J151" s="72"/>
      <c r="K151" s="72"/>
    </row>
    <row r="152" spans="1:11" x14ac:dyDescent="0.25">
      <c r="A152" s="137"/>
      <c r="B152" s="148"/>
      <c r="E152" s="79"/>
      <c r="F152" s="79"/>
      <c r="G152" s="79"/>
      <c r="H152" s="79"/>
      <c r="I152" s="79"/>
      <c r="J152" s="79"/>
      <c r="K152" s="79"/>
    </row>
    <row r="153" spans="1:11" ht="25.2" customHeight="1" x14ac:dyDescent="0.25">
      <c r="A153" s="146" t="s">
        <v>166</v>
      </c>
      <c r="B153" s="46" t="s">
        <v>167</v>
      </c>
      <c r="C153" s="3" t="s">
        <v>168</v>
      </c>
      <c r="D153" s="46"/>
      <c r="E153" s="72" t="s">
        <v>169</v>
      </c>
      <c r="F153" s="72"/>
      <c r="G153" s="72"/>
      <c r="H153" s="72"/>
      <c r="I153" s="72"/>
      <c r="J153" s="72"/>
      <c r="K153" s="72"/>
    </row>
    <row r="154" spans="1:11" x14ac:dyDescent="0.25">
      <c r="A154" s="147"/>
      <c r="B154" s="46"/>
      <c r="D154" s="46"/>
      <c r="E154" s="72" t="s">
        <v>170</v>
      </c>
      <c r="F154" s="72"/>
      <c r="G154" s="72"/>
      <c r="H154" s="72"/>
      <c r="I154" s="72"/>
      <c r="J154" s="72"/>
      <c r="K154" s="72"/>
    </row>
    <row r="155" spans="1:11" x14ac:dyDescent="0.25">
      <c r="A155" s="147"/>
      <c r="B155" s="46"/>
      <c r="D155" s="46"/>
      <c r="E155" s="72" t="s">
        <v>171</v>
      </c>
      <c r="F155" s="72"/>
      <c r="G155" s="72"/>
      <c r="H155" s="72"/>
      <c r="I155" s="72"/>
      <c r="J155" s="72"/>
      <c r="K155" s="72"/>
    </row>
    <row r="156" spans="1:11" x14ac:dyDescent="0.25">
      <c r="A156" s="147"/>
      <c r="B156" s="46"/>
      <c r="D156" s="46"/>
      <c r="E156" s="72" t="s">
        <v>172</v>
      </c>
      <c r="F156" s="72"/>
      <c r="G156" s="72"/>
      <c r="H156" s="72"/>
      <c r="I156" s="72"/>
      <c r="J156" s="72"/>
      <c r="K156" s="72"/>
    </row>
    <row r="157" spans="1:11" x14ac:dyDescent="0.25">
      <c r="A157" s="147"/>
      <c r="B157" s="46"/>
      <c r="D157" s="46"/>
      <c r="E157" s="72" t="s">
        <v>173</v>
      </c>
      <c r="F157" s="72"/>
      <c r="G157" s="72"/>
      <c r="H157" s="72"/>
      <c r="I157" s="72"/>
      <c r="J157" s="72"/>
      <c r="K157" s="72"/>
    </row>
    <row r="158" spans="1:11" x14ac:dyDescent="0.25">
      <c r="A158" s="147"/>
      <c r="B158" s="46"/>
      <c r="D158" s="46"/>
      <c r="E158" s="72" t="s">
        <v>174</v>
      </c>
      <c r="F158" s="72"/>
      <c r="G158" s="72"/>
      <c r="H158" s="72"/>
      <c r="I158" s="72"/>
      <c r="J158" s="72"/>
      <c r="K158" s="72"/>
    </row>
    <row r="159" spans="1:11" x14ac:dyDescent="0.25">
      <c r="A159" s="147"/>
      <c r="B159" s="46"/>
      <c r="D159" s="46"/>
      <c r="E159" s="72" t="s">
        <v>175</v>
      </c>
      <c r="F159" s="72"/>
      <c r="G159" s="72"/>
      <c r="H159" s="72"/>
      <c r="I159" s="72"/>
      <c r="J159" s="72"/>
      <c r="K159" s="72"/>
    </row>
    <row r="160" spans="1:11" x14ac:dyDescent="0.25">
      <c r="A160" s="147"/>
      <c r="B160" s="46"/>
      <c r="D160" s="46"/>
      <c r="E160" s="72" t="s">
        <v>176</v>
      </c>
      <c r="F160" s="72"/>
      <c r="G160" s="72"/>
      <c r="H160" s="72"/>
      <c r="I160" s="72"/>
      <c r="J160" s="72"/>
      <c r="K160" s="72"/>
    </row>
    <row r="161" spans="1:13" x14ac:dyDescent="0.25">
      <c r="A161" s="147"/>
      <c r="B161" s="46"/>
      <c r="D161" s="46"/>
      <c r="E161" s="72" t="s">
        <v>177</v>
      </c>
      <c r="F161" s="72"/>
      <c r="G161" s="72"/>
      <c r="H161" s="72"/>
      <c r="I161" s="72"/>
      <c r="J161" s="72"/>
      <c r="K161" s="72"/>
    </row>
    <row r="162" spans="1:13" x14ac:dyDescent="0.25">
      <c r="A162" s="147"/>
      <c r="B162" s="46"/>
      <c r="D162" s="46"/>
      <c r="E162" s="72" t="s">
        <v>178</v>
      </c>
      <c r="F162" s="72"/>
      <c r="G162" s="72"/>
      <c r="H162" s="72"/>
      <c r="I162" s="72"/>
      <c r="J162" s="72"/>
      <c r="K162" s="72"/>
    </row>
    <row r="163" spans="1:13" x14ac:dyDescent="0.25">
      <c r="A163" s="137"/>
      <c r="B163" s="46"/>
      <c r="D163" s="46"/>
      <c r="E163" s="79"/>
      <c r="F163" s="79"/>
      <c r="G163" s="79"/>
      <c r="H163" s="79"/>
      <c r="I163" s="79"/>
      <c r="J163" s="79"/>
      <c r="K163" s="79"/>
    </row>
    <row r="164" spans="1:13" ht="39.6" x14ac:dyDescent="0.25">
      <c r="A164" s="144" t="s">
        <v>179</v>
      </c>
      <c r="B164" s="149" t="s">
        <v>180</v>
      </c>
      <c r="C164" s="150" t="s">
        <v>181</v>
      </c>
      <c r="D164" s="150"/>
      <c r="E164" s="151" t="s">
        <v>182</v>
      </c>
      <c r="F164" s="151"/>
      <c r="G164" s="151"/>
      <c r="H164" s="151"/>
      <c r="I164" s="151"/>
      <c r="J164" s="151"/>
      <c r="K164" s="151"/>
      <c r="L164" s="150"/>
      <c r="M164" s="150"/>
    </row>
    <row r="165" spans="1:13" x14ac:dyDescent="0.25">
      <c r="A165" s="152"/>
      <c r="B165" s="149"/>
      <c r="C165" s="150"/>
      <c r="D165" s="150"/>
      <c r="E165" s="76" t="s">
        <v>183</v>
      </c>
      <c r="F165" s="76"/>
      <c r="G165" s="76"/>
      <c r="H165" s="76"/>
      <c r="I165" s="76"/>
      <c r="J165" s="76"/>
      <c r="K165" s="76"/>
      <c r="L165" s="150"/>
      <c r="M165" s="150"/>
    </row>
    <row r="166" spans="1:13" x14ac:dyDescent="0.25">
      <c r="A166" s="152"/>
      <c r="B166" s="149"/>
      <c r="C166" s="150"/>
      <c r="D166" s="150"/>
      <c r="E166" s="76" t="s">
        <v>184</v>
      </c>
      <c r="F166" s="76"/>
      <c r="G166" s="76"/>
      <c r="H166" s="76"/>
      <c r="I166" s="76"/>
      <c r="J166" s="76"/>
      <c r="K166" s="76"/>
      <c r="L166" s="150"/>
      <c r="M166" s="150"/>
    </row>
    <row r="167" spans="1:13" x14ac:dyDescent="0.25">
      <c r="A167" s="152"/>
      <c r="B167" s="149"/>
      <c r="C167" s="150"/>
      <c r="D167" s="150"/>
      <c r="E167" s="76" t="s">
        <v>185</v>
      </c>
      <c r="F167" s="76"/>
      <c r="G167" s="76"/>
      <c r="H167" s="76"/>
      <c r="I167" s="76"/>
      <c r="J167" s="76"/>
      <c r="K167" s="76"/>
      <c r="L167" s="150"/>
      <c r="M167" s="150"/>
    </row>
    <row r="168" spans="1:13" x14ac:dyDescent="0.25">
      <c r="A168" s="152"/>
      <c r="B168" s="149"/>
      <c r="C168" s="150"/>
      <c r="D168" s="150"/>
      <c r="E168" s="76" t="s">
        <v>186</v>
      </c>
      <c r="F168" s="76"/>
      <c r="G168" s="76"/>
      <c r="H168" s="76"/>
      <c r="I168" s="76"/>
      <c r="J168" s="76"/>
      <c r="K168" s="76"/>
      <c r="L168" s="150"/>
      <c r="M168" s="150"/>
    </row>
    <row r="169" spans="1:13" x14ac:dyDescent="0.25">
      <c r="A169" s="152"/>
      <c r="B169" s="149"/>
      <c r="C169" s="150"/>
      <c r="D169" s="150"/>
      <c r="E169" s="76" t="s">
        <v>187</v>
      </c>
      <c r="F169" s="76"/>
      <c r="G169" s="76"/>
      <c r="H169" s="76"/>
      <c r="I169" s="76"/>
      <c r="J169" s="76"/>
      <c r="K169" s="76"/>
      <c r="L169" s="150"/>
      <c r="M169" s="150"/>
    </row>
    <row r="170" spans="1:13" x14ac:dyDescent="0.25">
      <c r="A170" s="152"/>
      <c r="B170" s="149"/>
      <c r="C170" s="150"/>
      <c r="D170" s="150"/>
      <c r="E170" s="76" t="s">
        <v>188</v>
      </c>
      <c r="F170" s="76"/>
      <c r="G170" s="76"/>
      <c r="H170" s="76"/>
      <c r="I170" s="76"/>
      <c r="J170" s="76"/>
      <c r="K170" s="76"/>
      <c r="L170" s="150"/>
      <c r="M170" s="150"/>
    </row>
    <row r="171" spans="1:13" x14ac:dyDescent="0.25">
      <c r="A171" s="152"/>
      <c r="B171" s="149"/>
      <c r="C171" s="150"/>
      <c r="D171" s="150"/>
      <c r="E171" s="76" t="s">
        <v>189</v>
      </c>
      <c r="F171" s="76"/>
      <c r="G171" s="76"/>
      <c r="H171" s="76"/>
      <c r="I171" s="76"/>
      <c r="J171" s="76"/>
      <c r="K171" s="76"/>
      <c r="L171" s="150"/>
      <c r="M171" s="150"/>
    </row>
    <row r="172" spans="1:13" x14ac:dyDescent="0.25">
      <c r="A172" s="152"/>
      <c r="B172" s="149"/>
      <c r="C172" s="150"/>
      <c r="D172" s="150"/>
      <c r="E172" s="153" t="s">
        <v>190</v>
      </c>
      <c r="F172" s="154"/>
      <c r="G172" s="154"/>
      <c r="H172" s="154"/>
      <c r="I172" s="154"/>
      <c r="J172" s="154"/>
      <c r="K172" s="154"/>
      <c r="L172" s="150"/>
      <c r="M172" s="150"/>
    </row>
    <row r="173" spans="1:13" x14ac:dyDescent="0.25">
      <c r="A173" s="152"/>
      <c r="B173" s="149"/>
      <c r="C173" s="150"/>
      <c r="D173" s="150"/>
      <c r="E173" s="91"/>
      <c r="F173" s="91"/>
      <c r="G173" s="91"/>
      <c r="H173" s="91"/>
      <c r="I173" s="91"/>
      <c r="J173" s="91"/>
      <c r="K173" s="91"/>
      <c r="L173" s="150"/>
      <c r="M173" s="150"/>
    </row>
    <row r="174" spans="1:13" x14ac:dyDescent="0.25">
      <c r="A174" s="155"/>
      <c r="B174" s="46" t="s">
        <v>191</v>
      </c>
      <c r="C174" s="3" t="s">
        <v>192</v>
      </c>
      <c r="E174" s="151" t="s">
        <v>26</v>
      </c>
      <c r="F174" s="72"/>
      <c r="G174" s="72"/>
      <c r="H174" s="72"/>
      <c r="I174" s="72"/>
      <c r="J174" s="72"/>
      <c r="K174" s="72"/>
    </row>
    <row r="175" spans="1:13" x14ac:dyDescent="0.25">
      <c r="A175" s="53"/>
      <c r="E175" s="79"/>
      <c r="F175" s="79"/>
      <c r="G175" s="79"/>
      <c r="H175" s="79"/>
      <c r="I175" s="79"/>
      <c r="J175" s="79"/>
      <c r="K175" s="79"/>
    </row>
    <row r="176" spans="1:13" x14ac:dyDescent="0.25">
      <c r="A176" s="156"/>
      <c r="B176" s="46" t="s">
        <v>193</v>
      </c>
      <c r="C176" s="3" t="s">
        <v>192</v>
      </c>
      <c r="D176" s="46"/>
      <c r="E176" s="151" t="s">
        <v>26</v>
      </c>
      <c r="F176" s="72"/>
      <c r="G176" s="72"/>
      <c r="H176" s="72"/>
      <c r="I176" s="72"/>
      <c r="J176" s="72"/>
      <c r="K176" s="72"/>
    </row>
    <row r="177" spans="1:11" x14ac:dyDescent="0.25">
      <c r="A177" s="53"/>
      <c r="E177" s="150"/>
      <c r="F177" s="150"/>
      <c r="G177" s="150"/>
      <c r="H177" s="150"/>
      <c r="I177" s="150"/>
      <c r="J177" s="150"/>
      <c r="K177" s="150"/>
    </row>
    <row r="178" spans="1:11" s="7" customFormat="1" ht="29.4" x14ac:dyDescent="0.25">
      <c r="A178" s="157" t="s">
        <v>194</v>
      </c>
      <c r="B178" s="3" t="s">
        <v>195</v>
      </c>
      <c r="C178" s="3" t="s">
        <v>196</v>
      </c>
      <c r="D178" s="3"/>
      <c r="E178" s="158" t="s">
        <v>197</v>
      </c>
      <c r="F178" s="159"/>
      <c r="G178" s="159"/>
      <c r="H178" s="159"/>
      <c r="I178" s="159"/>
      <c r="J178" s="159"/>
      <c r="K178" s="159"/>
    </row>
    <row r="179" spans="1:11" x14ac:dyDescent="0.25">
      <c r="A179" s="160"/>
      <c r="E179" s="151" t="s">
        <v>198</v>
      </c>
      <c r="F179" s="72"/>
      <c r="G179" s="72"/>
      <c r="H179" s="72"/>
      <c r="I179" s="72"/>
      <c r="J179" s="72"/>
      <c r="K179" s="72"/>
    </row>
    <row r="180" spans="1:11" x14ac:dyDescent="0.25">
      <c r="A180" s="160"/>
      <c r="B180" s="46"/>
      <c r="E180" s="151" t="s">
        <v>199</v>
      </c>
      <c r="F180" s="72"/>
      <c r="G180" s="72"/>
      <c r="H180" s="72"/>
      <c r="I180" s="72"/>
      <c r="J180" s="72"/>
      <c r="K180" s="72"/>
    </row>
    <row r="181" spans="1:11" x14ac:dyDescent="0.25">
      <c r="A181" s="160"/>
      <c r="B181" s="46"/>
      <c r="E181" s="151" t="s">
        <v>200</v>
      </c>
      <c r="F181" s="72"/>
      <c r="G181" s="72"/>
      <c r="H181" s="72"/>
      <c r="I181" s="72"/>
      <c r="J181" s="72"/>
      <c r="K181" s="72"/>
    </row>
    <row r="182" spans="1:11" x14ac:dyDescent="0.25">
      <c r="A182" s="160"/>
      <c r="B182" s="46"/>
      <c r="E182" s="151" t="s">
        <v>201</v>
      </c>
      <c r="F182" s="72"/>
      <c r="G182" s="72"/>
      <c r="H182" s="72"/>
      <c r="I182" s="72"/>
      <c r="J182" s="72"/>
      <c r="K182" s="72"/>
    </row>
    <row r="183" spans="1:11" x14ac:dyDescent="0.25">
      <c r="A183" s="160"/>
      <c r="B183" s="46"/>
      <c r="E183" s="151" t="s">
        <v>202</v>
      </c>
      <c r="F183" s="72"/>
      <c r="G183" s="72"/>
      <c r="H183" s="72"/>
      <c r="I183" s="72"/>
      <c r="J183" s="72"/>
      <c r="K183" s="72"/>
    </row>
    <row r="184" spans="1:11" x14ac:dyDescent="0.25">
      <c r="A184" s="160"/>
      <c r="B184" s="46"/>
      <c r="E184" s="151" t="s">
        <v>203</v>
      </c>
      <c r="F184" s="72"/>
      <c r="G184" s="72"/>
      <c r="H184" s="72"/>
      <c r="I184" s="72"/>
      <c r="J184" s="72"/>
      <c r="K184" s="72"/>
    </row>
    <row r="185" spans="1:11" x14ac:dyDescent="0.25">
      <c r="A185" s="160"/>
      <c r="B185" s="46"/>
      <c r="E185" s="151" t="s">
        <v>204</v>
      </c>
      <c r="F185" s="72"/>
      <c r="G185" s="72"/>
      <c r="H185" s="72"/>
      <c r="I185" s="72"/>
      <c r="J185" s="72"/>
      <c r="K185" s="72"/>
    </row>
    <row r="186" spans="1:11" x14ac:dyDescent="0.25">
      <c r="A186" s="160"/>
      <c r="B186" s="46"/>
      <c r="E186" s="151" t="s">
        <v>205</v>
      </c>
      <c r="F186" s="72"/>
      <c r="G186" s="72"/>
      <c r="H186" s="72"/>
      <c r="I186" s="72"/>
      <c r="J186" s="72"/>
      <c r="K186" s="72"/>
    </row>
    <row r="187" spans="1:11" x14ac:dyDescent="0.25">
      <c r="A187" s="160"/>
      <c r="B187" s="46"/>
      <c r="E187" s="151" t="s">
        <v>206</v>
      </c>
      <c r="F187" s="72"/>
      <c r="G187" s="72"/>
      <c r="H187" s="72"/>
      <c r="I187" s="72"/>
      <c r="J187" s="72"/>
      <c r="K187" s="72"/>
    </row>
    <row r="188" spans="1:11" x14ac:dyDescent="0.25">
      <c r="A188" s="160"/>
      <c r="B188" s="46"/>
      <c r="E188" s="151" t="s">
        <v>207</v>
      </c>
      <c r="F188" s="72"/>
      <c r="G188" s="72"/>
      <c r="H188" s="72"/>
      <c r="I188" s="72"/>
      <c r="J188" s="72"/>
      <c r="K188" s="72"/>
    </row>
    <row r="189" spans="1:11" x14ac:dyDescent="0.25">
      <c r="A189" s="160"/>
      <c r="B189" s="46"/>
      <c r="E189" s="151" t="s">
        <v>208</v>
      </c>
      <c r="F189" s="72"/>
      <c r="G189" s="72"/>
      <c r="H189" s="72"/>
      <c r="I189" s="72"/>
      <c r="J189" s="72"/>
      <c r="K189" s="72"/>
    </row>
    <row r="190" spans="1:11" x14ac:dyDescent="0.25">
      <c r="A190" s="160"/>
      <c r="B190" s="46"/>
      <c r="E190" s="151" t="s">
        <v>209</v>
      </c>
      <c r="F190" s="72"/>
      <c r="G190" s="72"/>
      <c r="H190" s="72"/>
      <c r="I190" s="72"/>
      <c r="J190" s="72"/>
      <c r="K190" s="72"/>
    </row>
    <row r="191" spans="1:11" x14ac:dyDescent="0.25">
      <c r="A191" s="160"/>
      <c r="B191" s="46"/>
      <c r="E191" s="151" t="s">
        <v>210</v>
      </c>
      <c r="F191" s="72"/>
      <c r="G191" s="72"/>
      <c r="H191" s="72"/>
      <c r="I191" s="72"/>
      <c r="J191" s="72"/>
      <c r="K191" s="72"/>
    </row>
    <row r="192" spans="1:11" x14ac:dyDescent="0.25">
      <c r="A192" s="160"/>
      <c r="B192" s="46"/>
      <c r="E192" s="151" t="s">
        <v>211</v>
      </c>
      <c r="F192" s="72"/>
      <c r="G192" s="72"/>
      <c r="H192" s="72"/>
      <c r="I192" s="72"/>
      <c r="J192" s="72"/>
      <c r="K192" s="72"/>
    </row>
    <row r="193" spans="1:18" x14ac:dyDescent="0.25">
      <c r="A193" s="160"/>
      <c r="B193" s="46"/>
      <c r="E193" s="151" t="s">
        <v>212</v>
      </c>
      <c r="F193" s="72"/>
      <c r="G193" s="72"/>
      <c r="H193" s="72"/>
      <c r="I193" s="72"/>
      <c r="J193" s="72"/>
      <c r="K193" s="72"/>
    </row>
    <row r="194" spans="1:18" x14ac:dyDescent="0.25">
      <c r="A194" s="160"/>
      <c r="B194" s="46"/>
      <c r="E194" s="151" t="s">
        <v>213</v>
      </c>
      <c r="F194" s="72"/>
      <c r="G194" s="72"/>
      <c r="H194" s="72"/>
      <c r="I194" s="72"/>
      <c r="J194" s="72"/>
      <c r="K194" s="72"/>
    </row>
    <row r="195" spans="1:18" x14ac:dyDescent="0.25">
      <c r="A195" s="160"/>
      <c r="B195" s="46"/>
      <c r="E195" s="154" t="s">
        <v>214</v>
      </c>
      <c r="F195" s="154"/>
      <c r="G195" s="154"/>
      <c r="H195" s="154"/>
      <c r="I195" s="154"/>
      <c r="J195" s="154"/>
      <c r="K195" s="154"/>
    </row>
    <row r="196" spans="1:18" x14ac:dyDescent="0.25">
      <c r="A196" s="160"/>
      <c r="B196" s="46"/>
      <c r="E196" s="154" t="s">
        <v>215</v>
      </c>
      <c r="F196" s="154"/>
      <c r="G196" s="154"/>
      <c r="H196" s="154"/>
      <c r="I196" s="154"/>
      <c r="J196" s="154"/>
      <c r="K196" s="154"/>
    </row>
    <row r="197" spans="1:18" x14ac:dyDescent="0.25">
      <c r="A197" s="160"/>
      <c r="B197" s="46"/>
      <c r="E197" s="154" t="s">
        <v>216</v>
      </c>
      <c r="F197" s="154"/>
      <c r="G197" s="154"/>
      <c r="H197" s="154"/>
      <c r="I197" s="154"/>
      <c r="J197" s="154"/>
      <c r="K197" s="154"/>
    </row>
    <row r="198" spans="1:18" x14ac:dyDescent="0.25">
      <c r="A198" s="160"/>
      <c r="B198" s="46"/>
      <c r="E198" s="154" t="s">
        <v>217</v>
      </c>
      <c r="F198" s="154"/>
      <c r="G198" s="154"/>
      <c r="H198" s="154"/>
      <c r="I198" s="154"/>
      <c r="J198" s="154"/>
      <c r="K198" s="154"/>
    </row>
    <row r="199" spans="1:18" x14ac:dyDescent="0.25">
      <c r="A199" s="160"/>
      <c r="B199" s="46"/>
      <c r="E199" s="154" t="s">
        <v>218</v>
      </c>
      <c r="F199" s="154"/>
      <c r="G199" s="154"/>
      <c r="H199" s="154"/>
      <c r="I199" s="154"/>
      <c r="J199" s="154"/>
      <c r="K199" s="154"/>
    </row>
    <row r="200" spans="1:18" x14ac:dyDescent="0.25">
      <c r="A200" s="160"/>
      <c r="B200" s="46"/>
      <c r="E200" s="154" t="s">
        <v>219</v>
      </c>
      <c r="F200" s="154"/>
      <c r="G200" s="154"/>
      <c r="H200" s="154"/>
      <c r="I200" s="154"/>
      <c r="J200" s="154"/>
      <c r="K200" s="154"/>
    </row>
    <row r="201" spans="1:18" x14ac:dyDescent="0.25">
      <c r="A201" s="160"/>
      <c r="B201" s="46"/>
      <c r="E201" s="154" t="s">
        <v>220</v>
      </c>
      <c r="F201" s="154"/>
      <c r="G201" s="154"/>
      <c r="H201" s="154"/>
      <c r="I201" s="154"/>
      <c r="J201" s="154"/>
      <c r="K201" s="154"/>
    </row>
    <row r="202" spans="1:18" x14ac:dyDescent="0.25">
      <c r="A202" s="147"/>
      <c r="B202" s="46"/>
      <c r="E202" s="79"/>
      <c r="F202" s="79"/>
      <c r="G202" s="79"/>
      <c r="H202" s="79"/>
      <c r="I202" s="79"/>
      <c r="J202" s="79"/>
      <c r="K202" s="79"/>
    </row>
    <row r="203" spans="1:18" ht="13.35" customHeight="1" x14ac:dyDescent="0.25">
      <c r="A203" s="161" t="s">
        <v>221</v>
      </c>
      <c r="B203" s="46" t="s">
        <v>222</v>
      </c>
      <c r="C203" s="3" t="s">
        <v>223</v>
      </c>
      <c r="E203" s="151" t="s">
        <v>224</v>
      </c>
      <c r="F203" s="72"/>
      <c r="G203" s="72"/>
      <c r="H203" s="72"/>
      <c r="I203" s="72"/>
      <c r="J203" s="72"/>
      <c r="K203" s="72"/>
    </row>
    <row r="204" spans="1:18" x14ac:dyDescent="0.25">
      <c r="A204" s="162"/>
      <c r="B204" s="46"/>
      <c r="E204" s="91"/>
      <c r="F204" s="79"/>
      <c r="G204" s="79"/>
      <c r="H204" s="79"/>
      <c r="I204" s="79"/>
      <c r="J204" s="79"/>
      <c r="K204" s="79"/>
    </row>
    <row r="205" spans="1:18" x14ac:dyDescent="0.25">
      <c r="A205" s="54"/>
      <c r="B205" s="46"/>
      <c r="E205" s="79"/>
      <c r="F205" s="79"/>
      <c r="G205" s="79"/>
      <c r="H205" s="79"/>
      <c r="I205" s="79"/>
      <c r="J205" s="79"/>
      <c r="K205" s="79"/>
    </row>
    <row r="206" spans="1:18" ht="25.5" customHeight="1" x14ac:dyDescent="0.25">
      <c r="A206" s="163" t="s">
        <v>225</v>
      </c>
      <c r="B206" s="46" t="s">
        <v>226</v>
      </c>
      <c r="C206" s="3" t="s">
        <v>227</v>
      </c>
      <c r="D206" s="46"/>
      <c r="E206" s="46" t="s">
        <v>228</v>
      </c>
      <c r="G206" s="79"/>
      <c r="H206" s="164" t="s">
        <v>229</v>
      </c>
      <c r="I206" s="165"/>
      <c r="J206" s="165"/>
      <c r="K206" s="165"/>
      <c r="M206" s="3" t="s">
        <v>230</v>
      </c>
    </row>
    <row r="207" spans="1:18" x14ac:dyDescent="0.25">
      <c r="A207" s="163"/>
      <c r="B207" s="46"/>
      <c r="D207" s="46"/>
      <c r="E207" s="46" t="s">
        <v>231</v>
      </c>
      <c r="F207" s="79"/>
      <c r="G207" s="166" t="s">
        <v>232</v>
      </c>
      <c r="H207" s="166"/>
      <c r="I207" s="166"/>
      <c r="J207" s="166"/>
      <c r="K207" s="166"/>
    </row>
    <row r="208" spans="1:18" x14ac:dyDescent="0.25">
      <c r="A208" s="167"/>
      <c r="B208" s="46"/>
      <c r="E208" s="46" t="s">
        <v>233</v>
      </c>
      <c r="F208" s="79"/>
      <c r="G208" s="168" t="s">
        <v>234</v>
      </c>
      <c r="H208" s="154"/>
      <c r="I208" s="154"/>
      <c r="J208" s="154"/>
      <c r="K208" s="154"/>
      <c r="O208" s="79"/>
      <c r="P208" s="79"/>
      <c r="Q208" s="79"/>
      <c r="R208" s="79"/>
    </row>
    <row r="209" spans="1:13" x14ac:dyDescent="0.25">
      <c r="A209" s="59"/>
      <c r="E209" s="46" t="s">
        <v>235</v>
      </c>
      <c r="F209" s="79"/>
      <c r="G209" s="76" t="s">
        <v>236</v>
      </c>
      <c r="H209" s="76"/>
      <c r="I209" s="76"/>
      <c r="J209" s="76"/>
      <c r="K209" s="76"/>
    </row>
    <row r="210" spans="1:13" x14ac:dyDescent="0.25">
      <c r="A210" s="59"/>
      <c r="E210" s="46"/>
      <c r="F210" s="79"/>
      <c r="G210" s="151" t="s">
        <v>237</v>
      </c>
      <c r="H210" s="151"/>
      <c r="I210" s="151"/>
      <c r="J210" s="151"/>
      <c r="K210" s="151"/>
    </row>
    <row r="211" spans="1:13" x14ac:dyDescent="0.25">
      <c r="A211" s="59"/>
      <c r="E211" s="46" t="s">
        <v>238</v>
      </c>
      <c r="G211" s="169" t="s">
        <v>26</v>
      </c>
      <c r="H211" s="169"/>
      <c r="I211" s="169"/>
      <c r="J211" s="169"/>
      <c r="K211" s="169"/>
    </row>
    <row r="212" spans="1:13" x14ac:dyDescent="0.25">
      <c r="A212" s="59"/>
      <c r="E212" s="128" t="s">
        <v>239</v>
      </c>
      <c r="G212" s="79" t="s">
        <v>240</v>
      </c>
      <c r="H212" s="79"/>
      <c r="I212" s="79"/>
      <c r="J212" s="79"/>
      <c r="K212" s="79"/>
    </row>
    <row r="213" spans="1:13" ht="25.5" customHeight="1" x14ac:dyDescent="0.25">
      <c r="A213" s="59"/>
      <c r="E213" s="128" t="s">
        <v>241</v>
      </c>
      <c r="G213" s="79"/>
      <c r="H213" s="79" t="s">
        <v>242</v>
      </c>
      <c r="I213" s="79" t="s">
        <v>243</v>
      </c>
      <c r="J213" s="170" t="s">
        <v>244</v>
      </c>
      <c r="K213" s="170"/>
    </row>
    <row r="214" spans="1:13" x14ac:dyDescent="0.25">
      <c r="A214" s="59"/>
      <c r="E214" s="128" t="s">
        <v>245</v>
      </c>
      <c r="G214" s="79"/>
      <c r="H214" s="79" t="s">
        <v>242</v>
      </c>
      <c r="I214" s="79" t="s">
        <v>243</v>
      </c>
      <c r="J214" s="79" t="s">
        <v>246</v>
      </c>
      <c r="K214" s="79"/>
    </row>
    <row r="215" spans="1:13" x14ac:dyDescent="0.25">
      <c r="A215" s="59"/>
      <c r="E215" s="128" t="s">
        <v>247</v>
      </c>
      <c r="G215" s="79"/>
      <c r="H215" s="79" t="s">
        <v>242</v>
      </c>
      <c r="I215" s="79" t="s">
        <v>243</v>
      </c>
      <c r="J215" s="79" t="s">
        <v>246</v>
      </c>
      <c r="K215" s="79"/>
    </row>
    <row r="216" spans="1:13" x14ac:dyDescent="0.25">
      <c r="A216" s="53"/>
      <c r="E216" s="46" t="s">
        <v>248</v>
      </c>
      <c r="F216" s="79"/>
      <c r="G216" s="79"/>
      <c r="H216" s="130" t="s">
        <v>26</v>
      </c>
      <c r="I216" s="130"/>
      <c r="J216" s="130"/>
      <c r="K216" s="130"/>
    </row>
    <row r="217" spans="1:13" x14ac:dyDescent="0.25">
      <c r="A217" s="59"/>
      <c r="E217" s="128" t="s">
        <v>249</v>
      </c>
      <c r="F217" s="151" t="s">
        <v>250</v>
      </c>
      <c r="G217" s="72"/>
      <c r="H217" s="72"/>
      <c r="I217" s="72"/>
      <c r="J217" s="72"/>
      <c r="K217" s="72"/>
    </row>
    <row r="218" spans="1:13" x14ac:dyDescent="0.25">
      <c r="A218" s="59"/>
      <c r="E218" s="128"/>
      <c r="F218" s="151" t="s">
        <v>251</v>
      </c>
      <c r="G218" s="72"/>
      <c r="H218" s="72"/>
      <c r="I218" s="72"/>
      <c r="J218" s="72"/>
      <c r="K218" s="72"/>
    </row>
    <row r="219" spans="1:13" x14ac:dyDescent="0.25">
      <c r="A219" s="59"/>
      <c r="E219" s="128"/>
      <c r="F219" s="151" t="s">
        <v>252</v>
      </c>
      <c r="G219" s="72"/>
      <c r="H219" s="72"/>
      <c r="I219" s="72"/>
      <c r="J219" s="72"/>
      <c r="K219" s="72"/>
    </row>
    <row r="220" spans="1:13" x14ac:dyDescent="0.25">
      <c r="A220" s="59"/>
      <c r="E220" s="128"/>
      <c r="F220" s="151" t="s">
        <v>253</v>
      </c>
      <c r="G220" s="72"/>
      <c r="H220" s="72"/>
      <c r="I220" s="72"/>
      <c r="J220" s="72"/>
      <c r="K220" s="72"/>
    </row>
    <row r="221" spans="1:13" x14ac:dyDescent="0.25">
      <c r="A221" s="59"/>
      <c r="E221" s="128" t="s">
        <v>254</v>
      </c>
      <c r="F221" s="76" t="s">
        <v>255</v>
      </c>
      <c r="G221" s="72"/>
      <c r="H221" s="72"/>
      <c r="I221" s="72"/>
      <c r="J221" s="72"/>
      <c r="K221" s="72"/>
      <c r="M221" s="3" t="s">
        <v>225</v>
      </c>
    </row>
    <row r="222" spans="1:13" x14ac:dyDescent="0.25">
      <c r="A222" s="59"/>
      <c r="E222" s="128"/>
      <c r="F222" s="76" t="s">
        <v>256</v>
      </c>
      <c r="G222" s="72"/>
      <c r="H222" s="72"/>
      <c r="I222" s="72"/>
      <c r="J222" s="72"/>
      <c r="K222" s="72"/>
    </row>
    <row r="223" spans="1:13" x14ac:dyDescent="0.25">
      <c r="A223" s="59"/>
      <c r="E223" s="128" t="s">
        <v>257</v>
      </c>
      <c r="F223" s="151" t="s">
        <v>258</v>
      </c>
      <c r="G223" s="72"/>
      <c r="H223" s="72"/>
      <c r="I223" s="72"/>
      <c r="J223" s="72"/>
      <c r="K223" s="72"/>
    </row>
    <row r="224" spans="1:13" x14ac:dyDescent="0.25">
      <c r="A224" s="59"/>
      <c r="E224" s="128"/>
      <c r="F224" s="79"/>
      <c r="G224" s="79"/>
      <c r="H224" s="79"/>
      <c r="I224" s="79"/>
      <c r="J224" s="79"/>
      <c r="K224" s="79"/>
    </row>
    <row r="225" spans="1:12" ht="24" customHeight="1" x14ac:dyDescent="0.25">
      <c r="A225" s="144" t="s">
        <v>259</v>
      </c>
      <c r="B225" s="46" t="s">
        <v>260</v>
      </c>
      <c r="C225" s="3" t="s">
        <v>261</v>
      </c>
      <c r="E225" s="46" t="s">
        <v>228</v>
      </c>
      <c r="F225" s="79"/>
      <c r="G225" s="79"/>
      <c r="H225" s="171" t="s">
        <v>229</v>
      </c>
      <c r="I225" s="172"/>
      <c r="J225" s="172"/>
      <c r="K225" s="172"/>
    </row>
    <row r="226" spans="1:12" ht="13.35" customHeight="1" x14ac:dyDescent="0.25">
      <c r="A226" s="53"/>
      <c r="B226" s="46"/>
      <c r="E226" s="46" t="s">
        <v>231</v>
      </c>
      <c r="F226" s="79"/>
      <c r="G226" s="166" t="s">
        <v>232</v>
      </c>
      <c r="H226" s="166"/>
      <c r="I226" s="166"/>
      <c r="J226" s="166"/>
      <c r="K226" s="166"/>
    </row>
    <row r="227" spans="1:12" x14ac:dyDescent="0.25">
      <c r="A227" s="53"/>
      <c r="B227" s="46"/>
      <c r="E227" s="46" t="s">
        <v>233</v>
      </c>
      <c r="F227" s="79"/>
      <c r="G227" s="76" t="s">
        <v>262</v>
      </c>
      <c r="H227" s="76"/>
      <c r="I227" s="76"/>
      <c r="J227" s="76"/>
      <c r="K227" s="76"/>
      <c r="L227" s="150"/>
    </row>
    <row r="228" spans="1:12" x14ac:dyDescent="0.25">
      <c r="A228" s="53"/>
      <c r="B228" s="46"/>
      <c r="E228" s="46"/>
      <c r="F228" s="79"/>
      <c r="G228" s="76" t="s">
        <v>263</v>
      </c>
      <c r="H228" s="76"/>
      <c r="I228" s="76"/>
      <c r="J228" s="76"/>
      <c r="K228" s="76"/>
      <c r="L228" s="150"/>
    </row>
    <row r="229" spans="1:12" x14ac:dyDescent="0.25">
      <c r="A229" s="53"/>
      <c r="B229" s="46"/>
      <c r="E229" s="46"/>
      <c r="F229" s="79"/>
      <c r="G229" s="76" t="s">
        <v>264</v>
      </c>
      <c r="H229" s="76"/>
      <c r="I229" s="76"/>
      <c r="J229" s="76"/>
      <c r="K229" s="76"/>
      <c r="L229" s="150"/>
    </row>
    <row r="230" spans="1:12" x14ac:dyDescent="0.25">
      <c r="A230" s="53"/>
      <c r="B230" s="46"/>
      <c r="E230" s="46"/>
      <c r="F230" s="79"/>
      <c r="G230" s="173" t="s">
        <v>265</v>
      </c>
      <c r="H230" s="173"/>
      <c r="I230" s="173"/>
      <c r="J230" s="173"/>
      <c r="K230" s="173"/>
      <c r="L230" s="150"/>
    </row>
    <row r="231" spans="1:12" x14ac:dyDescent="0.25">
      <c r="A231" s="59"/>
      <c r="E231" s="46" t="s">
        <v>235</v>
      </c>
      <c r="F231" s="79"/>
      <c r="G231" s="76" t="s">
        <v>266</v>
      </c>
      <c r="H231" s="76"/>
      <c r="I231" s="76"/>
      <c r="J231" s="76"/>
      <c r="K231" s="76"/>
      <c r="L231" s="150"/>
    </row>
    <row r="232" spans="1:12" x14ac:dyDescent="0.25">
      <c r="A232" s="59"/>
      <c r="E232" s="46" t="s">
        <v>238</v>
      </c>
      <c r="G232" s="169" t="s">
        <v>26</v>
      </c>
      <c r="H232" s="174"/>
      <c r="I232" s="174"/>
      <c r="J232" s="174"/>
      <c r="K232" s="174"/>
    </row>
    <row r="233" spans="1:12" x14ac:dyDescent="0.25">
      <c r="A233" s="59"/>
      <c r="E233" s="128" t="s">
        <v>267</v>
      </c>
      <c r="F233" s="79"/>
      <c r="G233" s="79"/>
      <c r="H233" s="79" t="s">
        <v>242</v>
      </c>
      <c r="I233" s="79" t="s">
        <v>268</v>
      </c>
      <c r="J233" s="79"/>
      <c r="K233" s="79"/>
    </row>
    <row r="234" spans="1:12" x14ac:dyDescent="0.25">
      <c r="A234" s="59"/>
      <c r="E234" s="128" t="s">
        <v>239</v>
      </c>
      <c r="F234" s="79"/>
      <c r="G234" s="79"/>
      <c r="H234" s="79" t="s">
        <v>128</v>
      </c>
      <c r="I234" s="79" t="s">
        <v>269</v>
      </c>
      <c r="J234" s="79" t="s">
        <v>270</v>
      </c>
      <c r="K234" s="79"/>
    </row>
    <row r="235" spans="1:12" x14ac:dyDescent="0.25">
      <c r="A235" s="53"/>
      <c r="E235" s="46" t="s">
        <v>248</v>
      </c>
      <c r="F235" s="79"/>
      <c r="G235" s="79"/>
      <c r="H235" s="130" t="s">
        <v>271</v>
      </c>
      <c r="I235" s="130"/>
      <c r="J235" s="130"/>
      <c r="K235" s="130"/>
    </row>
    <row r="236" spans="1:12" s="79" customFormat="1" x14ac:dyDescent="0.25">
      <c r="A236" s="175"/>
      <c r="B236" s="148"/>
      <c r="E236" s="46" t="s">
        <v>272</v>
      </c>
      <c r="H236" s="176" t="s">
        <v>273</v>
      </c>
      <c r="I236" s="176" t="s">
        <v>274</v>
      </c>
      <c r="J236" s="176"/>
      <c r="K236" s="176"/>
    </row>
    <row r="237" spans="1:12" x14ac:dyDescent="0.25">
      <c r="A237" s="59"/>
      <c r="E237" s="128" t="s">
        <v>275</v>
      </c>
      <c r="F237" s="154" t="s">
        <v>26</v>
      </c>
      <c r="G237" s="154"/>
      <c r="H237" s="154"/>
      <c r="I237" s="154"/>
      <c r="J237" s="154"/>
      <c r="K237" s="154"/>
    </row>
    <row r="238" spans="1:12" x14ac:dyDescent="0.25">
      <c r="A238" s="59"/>
      <c r="E238" s="128" t="s">
        <v>249</v>
      </c>
      <c r="F238" s="76" t="s">
        <v>276</v>
      </c>
      <c r="G238" s="72"/>
      <c r="H238" s="72"/>
      <c r="I238" s="72"/>
      <c r="J238" s="72"/>
      <c r="K238" s="72"/>
    </row>
    <row r="239" spans="1:12" x14ac:dyDescent="0.25">
      <c r="A239" s="59"/>
      <c r="E239" s="128"/>
      <c r="F239" s="72" t="s">
        <v>277</v>
      </c>
      <c r="G239" s="72"/>
      <c r="H239" s="72"/>
      <c r="I239" s="72"/>
      <c r="J239" s="72"/>
      <c r="K239" s="72"/>
    </row>
    <row r="240" spans="1:12" x14ac:dyDescent="0.25">
      <c r="A240" s="59"/>
      <c r="E240" s="128"/>
      <c r="F240" s="72" t="s">
        <v>278</v>
      </c>
      <c r="G240" s="72"/>
      <c r="H240" s="72"/>
      <c r="I240" s="72"/>
      <c r="J240" s="72"/>
      <c r="K240" s="72"/>
    </row>
    <row r="241" spans="1:11" x14ac:dyDescent="0.25">
      <c r="A241" s="59"/>
      <c r="E241" s="128"/>
      <c r="F241" s="72" t="s">
        <v>279</v>
      </c>
      <c r="G241" s="72"/>
      <c r="H241" s="72"/>
      <c r="I241" s="72"/>
      <c r="J241" s="72"/>
      <c r="K241" s="72"/>
    </row>
    <row r="242" spans="1:11" ht="14.25" customHeight="1" x14ac:dyDescent="0.25">
      <c r="A242" s="59"/>
      <c r="B242" s="46"/>
      <c r="E242" s="128" t="s">
        <v>257</v>
      </c>
      <c r="F242" s="151" t="s">
        <v>258</v>
      </c>
      <c r="G242" s="72"/>
      <c r="H242" s="72"/>
      <c r="I242" s="72"/>
      <c r="J242" s="72"/>
      <c r="K242" s="72"/>
    </row>
    <row r="243" spans="1:11" ht="14.25" customHeight="1" x14ac:dyDescent="0.25">
      <c r="A243" s="59"/>
      <c r="B243" s="46"/>
      <c r="E243" s="148"/>
      <c r="F243" s="79"/>
      <c r="G243" s="79"/>
      <c r="H243" s="79"/>
      <c r="I243" s="79"/>
      <c r="J243" s="79"/>
      <c r="K243" s="79"/>
    </row>
    <row r="244" spans="1:11" ht="28.8" x14ac:dyDescent="0.25">
      <c r="A244" s="177" t="s">
        <v>280</v>
      </c>
      <c r="B244" s="46" t="s">
        <v>281</v>
      </c>
      <c r="C244" s="3" t="s">
        <v>282</v>
      </c>
      <c r="E244" s="46" t="s">
        <v>283</v>
      </c>
      <c r="F244" s="79"/>
      <c r="G244" s="79"/>
      <c r="H244" s="79"/>
      <c r="I244" s="79"/>
      <c r="J244" s="79"/>
      <c r="K244" s="79"/>
    </row>
    <row r="245" spans="1:11" ht="26.25" customHeight="1" x14ac:dyDescent="0.25">
      <c r="A245" s="59"/>
      <c r="E245" s="46" t="s">
        <v>228</v>
      </c>
      <c r="F245" s="79"/>
      <c r="G245" s="79"/>
      <c r="H245" s="171" t="s">
        <v>229</v>
      </c>
      <c r="I245" s="172"/>
      <c r="J245" s="172"/>
      <c r="K245" s="172"/>
    </row>
    <row r="246" spans="1:11" x14ac:dyDescent="0.25">
      <c r="A246" s="53"/>
      <c r="B246" s="46"/>
      <c r="D246" s="46"/>
      <c r="E246" s="46" t="s">
        <v>231</v>
      </c>
      <c r="F246" s="79"/>
      <c r="G246" s="166" t="s">
        <v>232</v>
      </c>
      <c r="H246" s="166"/>
      <c r="I246" s="166"/>
      <c r="J246" s="166"/>
      <c r="K246" s="166"/>
    </row>
    <row r="247" spans="1:11" x14ac:dyDescent="0.25">
      <c r="A247" s="53"/>
      <c r="B247" s="46"/>
      <c r="E247" s="46" t="s">
        <v>233</v>
      </c>
      <c r="F247" s="79"/>
      <c r="G247" s="168" t="s">
        <v>284</v>
      </c>
      <c r="H247" s="154"/>
      <c r="I247" s="154"/>
      <c r="J247" s="154"/>
      <c r="K247" s="154"/>
    </row>
    <row r="248" spans="1:11" x14ac:dyDescent="0.25">
      <c r="A248" s="178"/>
      <c r="E248" s="46" t="s">
        <v>239</v>
      </c>
      <c r="F248" s="79"/>
      <c r="G248" s="79"/>
      <c r="H248" s="79" t="s">
        <v>128</v>
      </c>
      <c r="I248" s="79" t="s">
        <v>285</v>
      </c>
      <c r="J248" s="79"/>
      <c r="K248" s="79"/>
    </row>
    <row r="249" spans="1:11" x14ac:dyDescent="0.25">
      <c r="A249" s="53"/>
      <c r="E249" s="46" t="s">
        <v>248</v>
      </c>
      <c r="F249" s="79"/>
      <c r="G249" s="79"/>
      <c r="H249" s="130" t="s">
        <v>26</v>
      </c>
      <c r="I249" s="130"/>
      <c r="J249" s="130"/>
      <c r="K249" s="130"/>
    </row>
    <row r="250" spans="1:11" x14ac:dyDescent="0.25">
      <c r="A250" s="59"/>
      <c r="B250" s="46"/>
      <c r="E250" s="46" t="s">
        <v>272</v>
      </c>
      <c r="F250" s="79"/>
      <c r="G250" s="79"/>
      <c r="H250" s="176" t="s">
        <v>273</v>
      </c>
      <c r="I250" s="176" t="s">
        <v>274</v>
      </c>
      <c r="J250" s="176"/>
      <c r="K250" s="176"/>
    </row>
    <row r="251" spans="1:11" x14ac:dyDescent="0.25">
      <c r="A251" s="59"/>
      <c r="B251" s="46"/>
      <c r="E251" s="46" t="s">
        <v>238</v>
      </c>
      <c r="F251" s="179"/>
      <c r="G251" s="79"/>
      <c r="H251" s="180" t="s">
        <v>26</v>
      </c>
      <c r="I251" s="176"/>
      <c r="J251" s="176"/>
      <c r="K251" s="176"/>
    </row>
    <row r="252" spans="1:11" x14ac:dyDescent="0.25">
      <c r="A252" s="59"/>
      <c r="B252" s="46"/>
      <c r="E252" s="46" t="s">
        <v>286</v>
      </c>
      <c r="F252" s="151" t="s">
        <v>250</v>
      </c>
      <c r="G252" s="72"/>
      <c r="H252" s="72"/>
      <c r="I252" s="72"/>
      <c r="J252" s="72"/>
      <c r="K252" s="72"/>
    </row>
    <row r="253" spans="1:11" x14ac:dyDescent="0.25">
      <c r="A253" s="59"/>
      <c r="B253" s="46"/>
      <c r="E253" s="46"/>
      <c r="F253" s="151" t="s">
        <v>251</v>
      </c>
      <c r="G253" s="72"/>
      <c r="H253" s="72"/>
      <c r="I253" s="72"/>
      <c r="J253" s="72"/>
      <c r="K253" s="72"/>
    </row>
    <row r="254" spans="1:11" x14ac:dyDescent="0.25">
      <c r="A254" s="59"/>
      <c r="E254" s="128" t="s">
        <v>275</v>
      </c>
      <c r="F254" s="76" t="s">
        <v>26</v>
      </c>
      <c r="G254" s="154"/>
      <c r="H254" s="154"/>
      <c r="I254" s="154"/>
      <c r="J254" s="154"/>
      <c r="K254" s="154"/>
    </row>
    <row r="255" spans="1:11" x14ac:dyDescent="0.25">
      <c r="A255" s="59"/>
      <c r="E255" s="128" t="s">
        <v>257</v>
      </c>
      <c r="F255" s="151" t="s">
        <v>258</v>
      </c>
      <c r="G255" s="154"/>
      <c r="H255" s="154"/>
      <c r="I255" s="154"/>
      <c r="J255" s="154"/>
      <c r="K255" s="154"/>
    </row>
    <row r="256" spans="1:11" ht="13.5" customHeight="1" x14ac:dyDescent="0.25">
      <c r="A256" s="59"/>
      <c r="E256" s="79"/>
      <c r="F256" s="79"/>
      <c r="G256" s="148"/>
      <c r="H256" s="79"/>
      <c r="I256" s="79"/>
      <c r="J256" s="79"/>
      <c r="K256" s="79"/>
    </row>
    <row r="257" spans="1:13" ht="13.5" customHeight="1" x14ac:dyDescent="0.25">
      <c r="A257" s="59"/>
      <c r="E257" s="79"/>
      <c r="F257" s="79"/>
      <c r="G257" s="148"/>
      <c r="H257" s="79"/>
      <c r="I257" s="79"/>
      <c r="J257" s="79"/>
      <c r="K257" s="79"/>
    </row>
    <row r="258" spans="1:13" s="7" customFormat="1" x14ac:dyDescent="0.25">
      <c r="A258" s="181">
        <v>17</v>
      </c>
      <c r="B258" s="5" t="s">
        <v>287</v>
      </c>
      <c r="C258" s="7" t="s">
        <v>288</v>
      </c>
      <c r="D258" s="5"/>
      <c r="E258" s="158" t="s">
        <v>289</v>
      </c>
      <c r="F258" s="159"/>
      <c r="G258" s="159"/>
      <c r="H258" s="159"/>
      <c r="I258" s="159"/>
      <c r="J258" s="159"/>
      <c r="K258" s="159"/>
    </row>
    <row r="259" spans="1:13" x14ac:dyDescent="0.25">
      <c r="A259" s="152"/>
      <c r="B259" s="46"/>
      <c r="D259" s="46"/>
      <c r="E259" s="151" t="s">
        <v>290</v>
      </c>
      <c r="F259" s="151"/>
      <c r="G259" s="151"/>
      <c r="H259" s="151"/>
      <c r="I259" s="151"/>
      <c r="J259" s="151"/>
      <c r="K259" s="151"/>
    </row>
    <row r="260" spans="1:13" x14ac:dyDescent="0.25">
      <c r="A260" s="152"/>
      <c r="B260" s="46"/>
      <c r="D260" s="46"/>
      <c r="E260" s="151" t="s">
        <v>291</v>
      </c>
      <c r="F260" s="151"/>
      <c r="G260" s="151"/>
      <c r="H260" s="151"/>
      <c r="I260" s="151"/>
      <c r="J260" s="151"/>
      <c r="K260" s="151"/>
    </row>
    <row r="261" spans="1:13" x14ac:dyDescent="0.25">
      <c r="A261" s="59"/>
      <c r="E261" s="182" t="s">
        <v>292</v>
      </c>
      <c r="F261" s="183" t="s">
        <v>293</v>
      </c>
      <c r="G261" s="154"/>
      <c r="H261" s="154"/>
      <c r="I261" s="154"/>
      <c r="J261" s="154"/>
      <c r="K261" s="154"/>
    </row>
    <row r="262" spans="1:13" x14ac:dyDescent="0.25">
      <c r="A262" s="53"/>
      <c r="E262" s="79"/>
      <c r="F262" s="79"/>
      <c r="G262" s="79"/>
      <c r="H262" s="79"/>
      <c r="I262" s="79"/>
      <c r="J262" s="79"/>
      <c r="K262" s="79"/>
    </row>
    <row r="263" spans="1:13" s="7" customFormat="1" x14ac:dyDescent="0.25">
      <c r="A263" s="181">
        <v>9.1</v>
      </c>
      <c r="B263" s="5" t="s">
        <v>294</v>
      </c>
      <c r="C263" s="7" t="s">
        <v>295</v>
      </c>
      <c r="D263" s="5"/>
      <c r="E263" s="158" t="s">
        <v>296</v>
      </c>
      <c r="F263" s="158"/>
      <c r="G263" s="158"/>
      <c r="H263" s="158"/>
      <c r="I263" s="158"/>
      <c r="J263" s="158"/>
      <c r="K263" s="158"/>
    </row>
    <row r="264" spans="1:13" x14ac:dyDescent="0.25">
      <c r="A264" s="152"/>
      <c r="B264" s="46"/>
      <c r="D264" s="46"/>
      <c r="E264" s="76" t="s">
        <v>297</v>
      </c>
      <c r="F264" s="76"/>
      <c r="G264" s="76"/>
      <c r="H264" s="76"/>
      <c r="I264" s="76"/>
      <c r="J264" s="76"/>
      <c r="K264" s="76"/>
    </row>
    <row r="265" spans="1:13" x14ac:dyDescent="0.25">
      <c r="A265" s="152"/>
      <c r="B265" s="46"/>
      <c r="D265" s="46"/>
      <c r="E265" s="76" t="s">
        <v>298</v>
      </c>
      <c r="F265" s="76"/>
      <c r="G265" s="76"/>
      <c r="H265" s="76"/>
      <c r="I265" s="76"/>
      <c r="J265" s="76"/>
      <c r="K265" s="76"/>
    </row>
    <row r="266" spans="1:13" x14ac:dyDescent="0.25">
      <c r="A266" s="53"/>
      <c r="B266" s="46"/>
      <c r="D266" s="46"/>
      <c r="E266" s="91"/>
      <c r="F266" s="91"/>
      <c r="G266" s="91"/>
      <c r="H266" s="91"/>
      <c r="I266" s="91"/>
      <c r="J266" s="91"/>
      <c r="K266" s="91"/>
    </row>
    <row r="267" spans="1:13" s="7" customFormat="1" x14ac:dyDescent="0.25">
      <c r="A267" s="144">
        <v>4.8</v>
      </c>
      <c r="B267" s="149" t="s">
        <v>299</v>
      </c>
      <c r="C267" s="150" t="s">
        <v>300</v>
      </c>
      <c r="D267" s="150"/>
      <c r="E267" s="151" t="s">
        <v>301</v>
      </c>
      <c r="F267" s="151"/>
      <c r="G267" s="151"/>
      <c r="H267" s="151"/>
      <c r="I267" s="158"/>
      <c r="J267" s="158"/>
      <c r="K267" s="158"/>
      <c r="L267" s="184"/>
      <c r="M267" s="184"/>
    </row>
    <row r="268" spans="1:13" x14ac:dyDescent="0.25">
      <c r="A268" s="53"/>
      <c r="E268" s="79"/>
      <c r="F268" s="79"/>
      <c r="G268" s="79"/>
      <c r="H268" s="79"/>
      <c r="I268" s="79"/>
      <c r="J268" s="79"/>
      <c r="K268" s="79"/>
    </row>
    <row r="269" spans="1:13" x14ac:dyDescent="0.25">
      <c r="A269" s="146">
        <v>4.8</v>
      </c>
      <c r="B269" s="46" t="s">
        <v>302</v>
      </c>
      <c r="C269" s="3" t="s">
        <v>303</v>
      </c>
      <c r="D269" s="46"/>
      <c r="E269" s="72" t="s">
        <v>304</v>
      </c>
      <c r="F269" s="72"/>
      <c r="G269" s="72"/>
      <c r="H269" s="72"/>
      <c r="I269" s="72"/>
      <c r="J269" s="72"/>
      <c r="K269" s="72"/>
    </row>
    <row r="270" spans="1:13" x14ac:dyDescent="0.25">
      <c r="A270" s="160"/>
      <c r="B270" s="46"/>
      <c r="D270" s="46"/>
      <c r="E270" s="72" t="s">
        <v>305</v>
      </c>
      <c r="F270" s="72"/>
      <c r="G270" s="72"/>
      <c r="H270" s="72"/>
      <c r="I270" s="72"/>
      <c r="J270" s="72"/>
      <c r="K270" s="72"/>
    </row>
    <row r="271" spans="1:13" x14ac:dyDescent="0.25">
      <c r="A271" s="160"/>
      <c r="B271" s="46"/>
      <c r="D271" s="46"/>
      <c r="E271" s="72" t="s">
        <v>306</v>
      </c>
      <c r="F271" s="72"/>
      <c r="G271" s="72"/>
      <c r="H271" s="72"/>
      <c r="I271" s="72"/>
      <c r="J271" s="72"/>
      <c r="K271" s="72"/>
    </row>
    <row r="272" spans="1:13" x14ac:dyDescent="0.25">
      <c r="A272" s="147"/>
      <c r="B272" s="46"/>
      <c r="D272" s="46"/>
      <c r="E272" s="79"/>
      <c r="F272" s="79"/>
      <c r="G272" s="79"/>
      <c r="H272" s="79"/>
      <c r="I272" s="79"/>
      <c r="J272" s="79"/>
      <c r="K272" s="79"/>
    </row>
    <row r="273" spans="1:11" s="7" customFormat="1" x14ac:dyDescent="0.25">
      <c r="A273" s="144">
        <v>13.6</v>
      </c>
      <c r="B273" s="46" t="s">
        <v>307</v>
      </c>
      <c r="C273" s="3" t="s">
        <v>308</v>
      </c>
      <c r="D273" s="46"/>
      <c r="E273" s="72" t="s">
        <v>309</v>
      </c>
      <c r="F273" s="72"/>
      <c r="G273" s="72"/>
      <c r="H273" s="72"/>
      <c r="I273" s="72"/>
      <c r="J273" s="72"/>
      <c r="K273" s="72"/>
    </row>
    <row r="274" spans="1:11" x14ac:dyDescent="0.25">
      <c r="A274" s="185"/>
      <c r="B274" s="46"/>
      <c r="D274" s="46"/>
      <c r="E274" s="154" t="s">
        <v>310</v>
      </c>
      <c r="F274" s="72"/>
      <c r="G274" s="72"/>
      <c r="H274" s="72"/>
      <c r="I274" s="72"/>
      <c r="J274" s="72"/>
      <c r="K274" s="72"/>
    </row>
    <row r="275" spans="1:11" x14ac:dyDescent="0.25">
      <c r="A275" s="98"/>
      <c r="B275" s="46"/>
      <c r="D275" s="46"/>
      <c r="E275" s="79"/>
      <c r="F275" s="79"/>
      <c r="G275" s="79"/>
      <c r="H275" s="79"/>
      <c r="I275" s="79"/>
      <c r="J275" s="79"/>
      <c r="K275" s="79"/>
    </row>
    <row r="276" spans="1:11" s="7" customFormat="1" x14ac:dyDescent="0.25">
      <c r="A276" s="142" t="s">
        <v>311</v>
      </c>
      <c r="B276" s="46" t="s">
        <v>312</v>
      </c>
      <c r="C276" s="3" t="s">
        <v>313</v>
      </c>
      <c r="D276" s="3"/>
      <c r="E276" s="3" t="s">
        <v>314</v>
      </c>
      <c r="F276" s="46"/>
      <c r="G276" s="151" t="s">
        <v>315</v>
      </c>
      <c r="H276" s="72"/>
      <c r="I276" s="72"/>
      <c r="J276" s="72"/>
      <c r="K276" s="72"/>
    </row>
    <row r="277" spans="1:11" x14ac:dyDescent="0.25">
      <c r="A277" s="59"/>
      <c r="E277" s="3" t="s">
        <v>316</v>
      </c>
      <c r="G277" s="76" t="s">
        <v>317</v>
      </c>
      <c r="H277" s="154"/>
      <c r="I277" s="154"/>
      <c r="J277" s="154"/>
      <c r="K277" s="154"/>
    </row>
    <row r="278" spans="1:11" ht="15.75" customHeight="1" x14ac:dyDescent="0.25">
      <c r="A278" s="53"/>
      <c r="E278" s="79"/>
      <c r="F278" s="79"/>
      <c r="G278" s="79"/>
      <c r="H278" s="79"/>
      <c r="I278" s="79"/>
      <c r="J278" s="79"/>
      <c r="K278" s="79"/>
    </row>
    <row r="279" spans="1:11" x14ac:dyDescent="0.25">
      <c r="A279" s="186"/>
      <c r="B279" s="46" t="s">
        <v>318</v>
      </c>
      <c r="C279" s="3" t="s">
        <v>319</v>
      </c>
      <c r="E279" s="72" t="s">
        <v>26</v>
      </c>
      <c r="F279" s="72"/>
      <c r="G279" s="72"/>
      <c r="H279" s="72"/>
      <c r="I279" s="72"/>
      <c r="J279" s="72"/>
      <c r="K279" s="72"/>
    </row>
    <row r="280" spans="1:11" x14ac:dyDescent="0.25">
      <c r="A280" s="53"/>
      <c r="E280" s="79"/>
      <c r="F280" s="79"/>
      <c r="G280" s="79"/>
      <c r="H280" s="79"/>
      <c r="I280" s="79"/>
      <c r="J280" s="79"/>
      <c r="K280" s="79"/>
    </row>
    <row r="281" spans="1:11" s="7" customFormat="1" ht="23.7" customHeight="1" x14ac:dyDescent="0.25">
      <c r="A281" s="146" t="s">
        <v>320</v>
      </c>
      <c r="B281" s="46" t="s">
        <v>321</v>
      </c>
      <c r="C281" s="3" t="s">
        <v>322</v>
      </c>
      <c r="D281" s="46"/>
      <c r="E281" s="72" t="s">
        <v>323</v>
      </c>
      <c r="F281" s="72"/>
      <c r="G281" s="72"/>
      <c r="H281" s="72"/>
      <c r="I281" s="72"/>
      <c r="J281" s="72"/>
      <c r="K281" s="72"/>
    </row>
    <row r="282" spans="1:11" x14ac:dyDescent="0.25">
      <c r="A282" s="147"/>
      <c r="B282" s="46"/>
      <c r="D282" s="46"/>
      <c r="E282" s="154" t="s">
        <v>324</v>
      </c>
      <c r="F282" s="154"/>
      <c r="G282" s="154"/>
      <c r="H282" s="154"/>
      <c r="I282" s="154"/>
      <c r="J282" s="154"/>
      <c r="K282" s="154"/>
    </row>
    <row r="283" spans="1:11" x14ac:dyDescent="0.25">
      <c r="A283" s="147"/>
      <c r="B283" s="46"/>
      <c r="D283" s="46"/>
      <c r="E283" s="154" t="s">
        <v>325</v>
      </c>
      <c r="F283" s="154"/>
      <c r="G283" s="154"/>
      <c r="H283" s="154"/>
      <c r="I283" s="154"/>
      <c r="J283" s="154"/>
      <c r="K283" s="154"/>
    </row>
    <row r="284" spans="1:11" x14ac:dyDescent="0.25">
      <c r="A284" s="147"/>
      <c r="B284" s="46"/>
      <c r="D284" s="46"/>
      <c r="E284" s="154" t="s">
        <v>326</v>
      </c>
      <c r="F284" s="154"/>
      <c r="G284" s="154"/>
      <c r="H284" s="154"/>
      <c r="I284" s="154"/>
      <c r="J284" s="154"/>
      <c r="K284" s="154"/>
    </row>
    <row r="285" spans="1:11" x14ac:dyDescent="0.25">
      <c r="A285" s="147"/>
      <c r="B285" s="46"/>
      <c r="D285" s="46"/>
      <c r="E285" s="154" t="s">
        <v>327</v>
      </c>
      <c r="F285" s="154"/>
      <c r="G285" s="154"/>
      <c r="H285" s="154"/>
      <c r="I285" s="154"/>
      <c r="J285" s="154"/>
      <c r="K285" s="154"/>
    </row>
    <row r="286" spans="1:11" x14ac:dyDescent="0.25">
      <c r="A286" s="147"/>
      <c r="B286" s="46"/>
      <c r="D286" s="46"/>
      <c r="E286" s="154" t="s">
        <v>328</v>
      </c>
      <c r="F286" s="154"/>
      <c r="G286" s="154"/>
      <c r="H286" s="154"/>
      <c r="I286" s="154"/>
      <c r="J286" s="154"/>
      <c r="K286" s="154"/>
    </row>
    <row r="287" spans="1:11" x14ac:dyDescent="0.25">
      <c r="A287" s="147"/>
      <c r="B287" s="46"/>
      <c r="D287" s="46"/>
      <c r="E287" s="154" t="s">
        <v>329</v>
      </c>
      <c r="F287" s="154"/>
      <c r="G287" s="154"/>
      <c r="H287" s="154"/>
      <c r="I287" s="154"/>
      <c r="J287" s="154"/>
      <c r="K287" s="154"/>
    </row>
    <row r="288" spans="1:11" x14ac:dyDescent="0.25">
      <c r="A288" s="147"/>
      <c r="B288" s="46"/>
      <c r="D288" s="46"/>
      <c r="E288" s="154" t="s">
        <v>330</v>
      </c>
      <c r="F288" s="154"/>
      <c r="G288" s="154"/>
      <c r="H288" s="154"/>
      <c r="I288" s="154"/>
      <c r="J288" s="154"/>
      <c r="K288" s="154"/>
    </row>
    <row r="289" spans="1:11" x14ac:dyDescent="0.25">
      <c r="A289" s="147"/>
      <c r="B289" s="46"/>
      <c r="D289" s="46"/>
      <c r="E289" s="154" t="s">
        <v>331</v>
      </c>
      <c r="F289" s="154"/>
      <c r="G289" s="154"/>
      <c r="H289" s="154"/>
      <c r="I289" s="154"/>
      <c r="J289" s="154"/>
      <c r="K289" s="154"/>
    </row>
    <row r="290" spans="1:11" x14ac:dyDescent="0.25">
      <c r="A290" s="147"/>
      <c r="B290" s="46"/>
      <c r="D290" s="46"/>
      <c r="E290" s="79"/>
      <c r="F290" s="79"/>
      <c r="G290" s="79"/>
      <c r="H290" s="79"/>
      <c r="I290" s="79"/>
      <c r="J290" s="79"/>
      <c r="K290" s="79"/>
    </row>
    <row r="291" spans="1:11" x14ac:dyDescent="0.25">
      <c r="A291" s="47"/>
      <c r="B291" s="46" t="s">
        <v>332</v>
      </c>
      <c r="C291" s="3" t="s">
        <v>333</v>
      </c>
      <c r="D291" s="46"/>
      <c r="E291" s="72" t="s">
        <v>26</v>
      </c>
      <c r="F291" s="72"/>
      <c r="G291" s="72"/>
      <c r="H291" s="72"/>
      <c r="I291" s="72"/>
      <c r="J291" s="72"/>
      <c r="K291" s="72"/>
    </row>
    <row r="292" spans="1:11" x14ac:dyDescent="0.25">
      <c r="A292" s="187"/>
      <c r="B292" s="46"/>
      <c r="E292" s="79"/>
      <c r="F292" s="79"/>
      <c r="G292" s="79"/>
      <c r="H292" s="79"/>
      <c r="I292" s="79"/>
      <c r="J292" s="79"/>
      <c r="K292" s="79"/>
    </row>
    <row r="293" spans="1:11" x14ac:dyDescent="0.25">
      <c r="A293" s="156"/>
      <c r="B293" s="46" t="s">
        <v>334</v>
      </c>
      <c r="C293" s="188" t="s">
        <v>335</v>
      </c>
      <c r="D293" s="46"/>
      <c r="E293" s="72" t="s">
        <v>26</v>
      </c>
      <c r="F293" s="72"/>
      <c r="G293" s="72"/>
      <c r="H293" s="72"/>
      <c r="I293" s="72"/>
      <c r="J293" s="72"/>
      <c r="K293" s="72"/>
    </row>
    <row r="294" spans="1:11" x14ac:dyDescent="0.25">
      <c r="A294" s="187"/>
      <c r="B294" s="46"/>
      <c r="E294" s="79"/>
      <c r="F294" s="79"/>
      <c r="G294" s="79"/>
      <c r="H294" s="79"/>
      <c r="I294" s="79"/>
      <c r="J294" s="79"/>
      <c r="K294" s="79"/>
    </row>
    <row r="295" spans="1:11" x14ac:dyDescent="0.25">
      <c r="A295" s="155">
        <v>18.399999999999999</v>
      </c>
      <c r="B295" s="46" t="s">
        <v>336</v>
      </c>
      <c r="C295" s="3" t="s">
        <v>337</v>
      </c>
      <c r="E295" s="72" t="s">
        <v>338</v>
      </c>
      <c r="F295" s="72"/>
      <c r="G295" s="72"/>
      <c r="H295" s="72"/>
      <c r="I295" s="72"/>
      <c r="J295" s="72"/>
      <c r="K295" s="72"/>
    </row>
    <row r="296" spans="1:11" x14ac:dyDescent="0.25">
      <c r="A296" s="147"/>
      <c r="B296" s="46"/>
      <c r="E296" s="79"/>
      <c r="F296" s="79"/>
      <c r="G296" s="79"/>
      <c r="H296" s="79"/>
      <c r="I296" s="79"/>
      <c r="J296" s="79"/>
      <c r="K296" s="79"/>
    </row>
    <row r="297" spans="1:11" ht="26.4" x14ac:dyDescent="0.25">
      <c r="A297" s="144" t="s">
        <v>339</v>
      </c>
      <c r="B297" s="46" t="s">
        <v>340</v>
      </c>
      <c r="C297" s="3" t="s">
        <v>341</v>
      </c>
      <c r="D297" s="46"/>
      <c r="E297" s="72" t="s">
        <v>342</v>
      </c>
      <c r="F297" s="72"/>
      <c r="G297" s="72"/>
      <c r="H297" s="72"/>
      <c r="I297" s="72"/>
      <c r="J297" s="72"/>
      <c r="K297" s="72"/>
    </row>
    <row r="298" spans="1:11" x14ac:dyDescent="0.25">
      <c r="A298" s="53"/>
      <c r="B298" s="46"/>
      <c r="D298" s="46"/>
      <c r="E298" s="72" t="s">
        <v>343</v>
      </c>
      <c r="F298" s="72"/>
      <c r="G298" s="72"/>
      <c r="H298" s="72"/>
      <c r="I298" s="72"/>
      <c r="J298" s="72"/>
      <c r="K298" s="72"/>
    </row>
    <row r="299" spans="1:11" x14ac:dyDescent="0.25">
      <c r="A299" s="53"/>
      <c r="B299" s="46"/>
      <c r="D299" s="46"/>
      <c r="E299" s="154" t="s">
        <v>344</v>
      </c>
      <c r="F299" s="154"/>
      <c r="G299" s="154"/>
      <c r="H299" s="154"/>
      <c r="I299" s="154"/>
      <c r="J299" s="154"/>
      <c r="K299" s="154"/>
    </row>
    <row r="300" spans="1:11" x14ac:dyDescent="0.25">
      <c r="A300" s="53"/>
      <c r="D300" s="46"/>
      <c r="E300" s="79"/>
      <c r="F300" s="79"/>
      <c r="G300" s="79"/>
      <c r="H300" s="79"/>
      <c r="I300" s="79"/>
      <c r="J300" s="79"/>
      <c r="K300" s="79"/>
    </row>
    <row r="301" spans="1:11" x14ac:dyDescent="0.25">
      <c r="A301" s="187"/>
      <c r="E301" s="79"/>
      <c r="F301" s="79"/>
      <c r="G301" s="79"/>
      <c r="H301" s="79"/>
      <c r="I301" s="79"/>
      <c r="J301" s="79"/>
      <c r="K301" s="79"/>
    </row>
    <row r="302" spans="1:11" s="7" customFormat="1" x14ac:dyDescent="0.25">
      <c r="A302" s="189">
        <v>18.16</v>
      </c>
      <c r="B302" s="46" t="s">
        <v>345</v>
      </c>
      <c r="C302" s="3" t="s">
        <v>346</v>
      </c>
      <c r="D302" s="3"/>
      <c r="E302" s="151" t="s">
        <v>347</v>
      </c>
      <c r="F302" s="151"/>
      <c r="G302" s="151"/>
      <c r="H302" s="151"/>
      <c r="I302" s="151"/>
      <c r="J302" s="151"/>
      <c r="K302" s="151"/>
    </row>
    <row r="303" spans="1:11" x14ac:dyDescent="0.25">
      <c r="A303" s="187"/>
    </row>
    <row r="304" spans="1:11" s="7" customFormat="1" x14ac:dyDescent="0.25">
      <c r="A304" s="190" t="s">
        <v>348</v>
      </c>
      <c r="B304" s="46" t="s">
        <v>349</v>
      </c>
      <c r="C304" s="3" t="s">
        <v>350</v>
      </c>
      <c r="D304" s="3"/>
      <c r="E304" s="72" t="s">
        <v>351</v>
      </c>
      <c r="F304" s="72"/>
      <c r="G304" s="72"/>
      <c r="H304" s="72"/>
      <c r="I304" s="72"/>
      <c r="J304" s="72"/>
      <c r="K304" s="72"/>
    </row>
    <row r="305" spans="1:11" x14ac:dyDescent="0.25">
      <c r="A305" s="191"/>
      <c r="E305" s="72" t="s">
        <v>352</v>
      </c>
      <c r="F305" s="72"/>
      <c r="G305" s="72"/>
      <c r="H305" s="72"/>
      <c r="I305" s="72"/>
      <c r="J305" s="72"/>
      <c r="K305" s="72"/>
    </row>
    <row r="306" spans="1:11" x14ac:dyDescent="0.25">
      <c r="A306" s="187"/>
      <c r="E306" s="79"/>
      <c r="F306" s="79"/>
      <c r="G306" s="79"/>
      <c r="H306" s="79"/>
      <c r="I306" s="79"/>
      <c r="J306" s="79"/>
      <c r="K306" s="79"/>
    </row>
    <row r="307" spans="1:11" ht="13.35" customHeight="1" x14ac:dyDescent="0.25">
      <c r="A307" s="192"/>
      <c r="B307" s="46" t="s">
        <v>353</v>
      </c>
      <c r="C307" s="3" t="s">
        <v>354</v>
      </c>
      <c r="E307" s="72" t="s">
        <v>26</v>
      </c>
      <c r="F307" s="72"/>
      <c r="G307" s="72"/>
      <c r="H307" s="72"/>
      <c r="I307" s="72"/>
      <c r="J307" s="72"/>
      <c r="K307" s="72"/>
    </row>
    <row r="308" spans="1:11" ht="13.35" customHeight="1" x14ac:dyDescent="0.25">
      <c r="A308" s="98"/>
    </row>
    <row r="309" spans="1:11" s="7" customFormat="1" x14ac:dyDescent="0.25">
      <c r="A309" s="193">
        <v>8.4</v>
      </c>
      <c r="B309" s="3" t="s">
        <v>355</v>
      </c>
      <c r="C309" s="3" t="s">
        <v>356</v>
      </c>
      <c r="D309" s="3"/>
      <c r="E309" s="72" t="s">
        <v>357</v>
      </c>
      <c r="F309" s="73"/>
      <c r="G309" s="73"/>
      <c r="H309" s="73"/>
      <c r="I309" s="73"/>
      <c r="J309" s="73"/>
      <c r="K309" s="73"/>
    </row>
    <row r="310" spans="1:11" s="7" customFormat="1" x14ac:dyDescent="0.25">
      <c r="A310" s="96"/>
      <c r="B310" s="3"/>
      <c r="C310" s="3"/>
      <c r="D310" s="3"/>
      <c r="E310" s="72" t="s">
        <v>358</v>
      </c>
      <c r="F310" s="73"/>
      <c r="G310" s="73"/>
      <c r="H310" s="73"/>
      <c r="I310" s="73"/>
      <c r="J310" s="73"/>
      <c r="K310" s="73"/>
    </row>
    <row r="311" spans="1:11" x14ac:dyDescent="0.25">
      <c r="A311" s="137"/>
      <c r="B311" s="46"/>
      <c r="E311" s="72" t="s">
        <v>359</v>
      </c>
      <c r="F311" s="72"/>
      <c r="G311" s="72"/>
      <c r="H311" s="72"/>
      <c r="I311" s="72"/>
      <c r="J311" s="72"/>
      <c r="K311" s="72"/>
    </row>
    <row r="312" spans="1:11" x14ac:dyDescent="0.25">
      <c r="A312" s="46"/>
      <c r="B312" s="46"/>
      <c r="E312" s="79"/>
      <c r="F312" s="79"/>
      <c r="G312" s="79"/>
      <c r="H312" s="79"/>
      <c r="I312" s="79"/>
      <c r="J312" s="79"/>
      <c r="K312" s="79"/>
    </row>
    <row r="313" spans="1:11" s="7" customFormat="1" x14ac:dyDescent="0.25">
      <c r="A313" s="47">
        <v>8.1</v>
      </c>
      <c r="B313" s="46" t="s">
        <v>360</v>
      </c>
      <c r="C313" s="46" t="s">
        <v>361</v>
      </c>
      <c r="D313" s="46"/>
      <c r="E313" s="116" t="s">
        <v>362</v>
      </c>
      <c r="F313" s="79"/>
      <c r="G313" s="79"/>
      <c r="H313" s="79" t="s">
        <v>363</v>
      </c>
      <c r="I313" s="79" t="s">
        <v>40</v>
      </c>
      <c r="J313" s="79" t="s">
        <v>364</v>
      </c>
      <c r="K313" s="79"/>
    </row>
    <row r="314" spans="1:11" x14ac:dyDescent="0.25">
      <c r="A314" s="194"/>
      <c r="B314" s="46"/>
      <c r="E314" s="154" t="s">
        <v>365</v>
      </c>
      <c r="F314" s="72"/>
      <c r="G314" s="72"/>
      <c r="H314" s="72"/>
      <c r="I314" s="72"/>
      <c r="J314" s="72"/>
      <c r="K314" s="72"/>
    </row>
    <row r="315" spans="1:11" x14ac:dyDescent="0.25">
      <c r="A315" s="185"/>
      <c r="B315" s="46"/>
      <c r="E315" s="72" t="s">
        <v>366</v>
      </c>
      <c r="F315" s="72"/>
      <c r="G315" s="72"/>
      <c r="H315" s="72"/>
      <c r="I315" s="72"/>
      <c r="J315" s="72"/>
      <c r="K315" s="72"/>
    </row>
    <row r="316" spans="1:11" x14ac:dyDescent="0.25">
      <c r="A316" s="185"/>
      <c r="B316" s="46"/>
      <c r="E316" s="154" t="s">
        <v>367</v>
      </c>
      <c r="F316" s="72"/>
      <c r="G316" s="72"/>
      <c r="H316" s="72"/>
      <c r="I316" s="72"/>
      <c r="J316" s="72"/>
      <c r="K316" s="72"/>
    </row>
    <row r="317" spans="1:11" x14ac:dyDescent="0.25">
      <c r="A317" s="185"/>
      <c r="B317" s="46"/>
      <c r="E317" s="72" t="s">
        <v>368</v>
      </c>
      <c r="F317" s="72"/>
      <c r="G317" s="72"/>
      <c r="H317" s="72"/>
      <c r="I317" s="72"/>
      <c r="J317" s="72"/>
      <c r="K317" s="72"/>
    </row>
    <row r="318" spans="1:11" x14ac:dyDescent="0.25">
      <c r="A318" s="185"/>
      <c r="B318" s="46"/>
      <c r="E318" s="72" t="s">
        <v>369</v>
      </c>
      <c r="F318" s="72"/>
      <c r="G318" s="72"/>
      <c r="H318" s="72"/>
      <c r="I318" s="72"/>
      <c r="J318" s="72"/>
      <c r="K318" s="72"/>
    </row>
    <row r="319" spans="1:11" x14ac:dyDescent="0.25">
      <c r="A319" s="185"/>
      <c r="B319" s="46"/>
      <c r="E319" s="72" t="s">
        <v>370</v>
      </c>
      <c r="F319" s="72"/>
      <c r="G319" s="72"/>
      <c r="H319" s="72"/>
      <c r="I319" s="72"/>
      <c r="J319" s="72"/>
      <c r="K319" s="72"/>
    </row>
    <row r="320" spans="1:11" x14ac:dyDescent="0.25">
      <c r="A320" s="185"/>
      <c r="B320" s="46"/>
      <c r="E320" s="154" t="s">
        <v>371</v>
      </c>
      <c r="F320" s="154"/>
      <c r="G320" s="154"/>
      <c r="H320" s="154"/>
      <c r="I320" s="154"/>
      <c r="J320" s="154"/>
      <c r="K320" s="154"/>
    </row>
    <row r="321" spans="1:11" x14ac:dyDescent="0.25">
      <c r="A321" s="185"/>
      <c r="B321" s="46"/>
      <c r="E321" s="72" t="s">
        <v>372</v>
      </c>
      <c r="F321" s="72"/>
      <c r="G321" s="72"/>
      <c r="H321" s="72"/>
      <c r="I321" s="72"/>
      <c r="J321" s="72"/>
      <c r="K321" s="72"/>
    </row>
    <row r="322" spans="1:11" x14ac:dyDescent="0.25">
      <c r="A322" s="185"/>
      <c r="B322" s="46"/>
      <c r="E322" s="72" t="s">
        <v>373</v>
      </c>
      <c r="F322" s="72"/>
      <c r="G322" s="72"/>
      <c r="H322" s="72"/>
      <c r="I322" s="72"/>
      <c r="J322" s="72"/>
      <c r="K322" s="72"/>
    </row>
    <row r="323" spans="1:11" ht="14.4" x14ac:dyDescent="0.25">
      <c r="A323" s="187"/>
      <c r="B323" s="46"/>
      <c r="E323" s="195"/>
      <c r="F323" s="79"/>
      <c r="G323" s="79"/>
      <c r="H323" s="79"/>
      <c r="I323" s="79"/>
      <c r="J323" s="79"/>
      <c r="K323" s="79"/>
    </row>
    <row r="324" spans="1:11" x14ac:dyDescent="0.25">
      <c r="A324" s="47"/>
      <c r="B324" s="46" t="s">
        <v>374</v>
      </c>
      <c r="C324" s="188" t="s">
        <v>375</v>
      </c>
      <c r="D324" s="46"/>
      <c r="E324" s="72" t="s">
        <v>26</v>
      </c>
      <c r="F324" s="72"/>
      <c r="G324" s="72"/>
      <c r="H324" s="72"/>
      <c r="I324" s="72"/>
      <c r="J324" s="72"/>
      <c r="K324" s="72"/>
    </row>
    <row r="325" spans="1:11" x14ac:dyDescent="0.25">
      <c r="A325" s="98"/>
      <c r="B325" s="46"/>
      <c r="C325" s="188"/>
      <c r="D325" s="46"/>
      <c r="E325" s="79"/>
      <c r="F325" s="79"/>
      <c r="G325" s="79"/>
      <c r="H325" s="79"/>
      <c r="I325" s="79"/>
      <c r="J325" s="79"/>
      <c r="K325" s="79"/>
    </row>
    <row r="326" spans="1:11" s="7" customFormat="1" ht="24" customHeight="1" x14ac:dyDescent="0.25">
      <c r="A326" s="144" t="s">
        <v>376</v>
      </c>
      <c r="B326" s="46" t="s">
        <v>374</v>
      </c>
      <c r="C326" s="188" t="s">
        <v>377</v>
      </c>
      <c r="D326" s="46"/>
      <c r="E326" s="151" t="s">
        <v>378</v>
      </c>
      <c r="F326" s="72"/>
      <c r="G326" s="72"/>
      <c r="H326" s="72"/>
      <c r="I326" s="72"/>
      <c r="J326" s="72"/>
      <c r="K326" s="72"/>
    </row>
    <row r="327" spans="1:11" x14ac:dyDescent="0.25">
      <c r="A327" s="152"/>
      <c r="B327" s="46"/>
      <c r="C327" s="188"/>
      <c r="D327" s="46"/>
      <c r="E327" s="151" t="s">
        <v>379</v>
      </c>
      <c r="F327" s="72"/>
      <c r="G327" s="72"/>
      <c r="H327" s="72"/>
      <c r="I327" s="72"/>
      <c r="J327" s="72"/>
      <c r="K327" s="72"/>
    </row>
    <row r="328" spans="1:11" x14ac:dyDescent="0.25">
      <c r="A328" s="152"/>
      <c r="B328" s="46"/>
      <c r="C328" s="188"/>
      <c r="D328" s="46"/>
      <c r="E328" s="151" t="s">
        <v>380</v>
      </c>
      <c r="F328" s="72"/>
      <c r="G328" s="72"/>
      <c r="H328" s="72"/>
      <c r="I328" s="72"/>
      <c r="J328" s="72"/>
      <c r="K328" s="72"/>
    </row>
    <row r="329" spans="1:11" x14ac:dyDescent="0.25">
      <c r="A329" s="152"/>
      <c r="B329" s="46"/>
      <c r="C329" s="188"/>
      <c r="D329" s="46"/>
      <c r="E329" s="151" t="s">
        <v>381</v>
      </c>
      <c r="F329" s="72"/>
      <c r="G329" s="72"/>
      <c r="H329" s="72"/>
      <c r="I329" s="72"/>
      <c r="J329" s="72"/>
      <c r="K329" s="72"/>
    </row>
    <row r="330" spans="1:11" x14ac:dyDescent="0.25">
      <c r="A330" s="98"/>
      <c r="B330" s="46"/>
      <c r="E330" s="79"/>
      <c r="F330" s="79"/>
      <c r="G330" s="79"/>
      <c r="H330" s="79"/>
      <c r="I330" s="79"/>
      <c r="J330" s="79"/>
      <c r="K330" s="79"/>
    </row>
    <row r="331" spans="1:11" x14ac:dyDescent="0.25">
      <c r="A331" s="47"/>
      <c r="B331" s="46" t="s">
        <v>374</v>
      </c>
      <c r="C331" s="3" t="s">
        <v>382</v>
      </c>
      <c r="D331" s="46"/>
      <c r="E331" s="151" t="s">
        <v>26</v>
      </c>
      <c r="F331" s="72"/>
      <c r="G331" s="72"/>
      <c r="H331" s="72"/>
      <c r="I331" s="72"/>
      <c r="J331" s="72"/>
      <c r="K331" s="72"/>
    </row>
    <row r="332" spans="1:11" x14ac:dyDescent="0.25">
      <c r="A332" s="53"/>
      <c r="B332" s="46"/>
      <c r="C332" s="188"/>
      <c r="D332" s="46"/>
      <c r="E332" s="91"/>
      <c r="F332" s="79"/>
      <c r="G332" s="79"/>
      <c r="H332" s="79"/>
      <c r="I332" s="79"/>
      <c r="J332" s="79"/>
      <c r="K332" s="79"/>
    </row>
    <row r="333" spans="1:11" s="7" customFormat="1" x14ac:dyDescent="0.25">
      <c r="A333" s="186" t="s">
        <v>3</v>
      </c>
      <c r="B333" s="46" t="s">
        <v>383</v>
      </c>
      <c r="C333" s="46" t="s">
        <v>384</v>
      </c>
      <c r="D333" s="46"/>
      <c r="E333" s="151" t="s">
        <v>385</v>
      </c>
      <c r="F333" s="72"/>
      <c r="G333" s="72"/>
      <c r="H333" s="72"/>
      <c r="I333" s="72"/>
      <c r="J333" s="72"/>
      <c r="K333" s="72"/>
    </row>
    <row r="334" spans="1:11" x14ac:dyDescent="0.25">
      <c r="A334" s="196"/>
      <c r="B334" s="46"/>
      <c r="C334" s="188"/>
      <c r="D334" s="46"/>
      <c r="E334" s="151" t="s">
        <v>386</v>
      </c>
      <c r="F334" s="72"/>
      <c r="G334" s="72"/>
      <c r="H334" s="72"/>
      <c r="I334" s="72"/>
      <c r="J334" s="72"/>
      <c r="K334" s="72"/>
    </row>
    <row r="335" spans="1:11" x14ac:dyDescent="0.25">
      <c r="A335" s="196"/>
      <c r="B335" s="46"/>
      <c r="C335" s="188"/>
      <c r="D335" s="46"/>
      <c r="E335" s="151" t="s">
        <v>387</v>
      </c>
      <c r="F335" s="72"/>
      <c r="G335" s="72"/>
      <c r="H335" s="72"/>
      <c r="I335" s="72"/>
      <c r="J335" s="72"/>
      <c r="K335" s="72"/>
    </row>
    <row r="336" spans="1:11" x14ac:dyDescent="0.25">
      <c r="A336" s="98"/>
      <c r="B336" s="46"/>
      <c r="C336" s="188"/>
      <c r="D336" s="46"/>
      <c r="E336" s="79"/>
      <c r="F336" s="79"/>
      <c r="G336" s="79"/>
      <c r="H336" s="79"/>
      <c r="I336" s="79"/>
      <c r="J336" s="79"/>
      <c r="K336" s="79"/>
    </row>
    <row r="337" spans="1:11" x14ac:dyDescent="0.25">
      <c r="A337" s="186"/>
      <c r="B337" s="46" t="s">
        <v>383</v>
      </c>
      <c r="C337" s="3" t="s">
        <v>388</v>
      </c>
      <c r="D337" s="46"/>
      <c r="E337" s="151" t="s">
        <v>26</v>
      </c>
      <c r="F337" s="72"/>
      <c r="G337" s="72"/>
      <c r="H337" s="72"/>
      <c r="I337" s="72"/>
      <c r="J337" s="72"/>
      <c r="K337" s="72"/>
    </row>
    <row r="338" spans="1:11" x14ac:dyDescent="0.25">
      <c r="A338" s="98"/>
      <c r="B338" s="46"/>
      <c r="C338" s="188"/>
      <c r="D338" s="46"/>
      <c r="E338" s="79"/>
      <c r="F338" s="79"/>
      <c r="G338" s="79"/>
      <c r="H338" s="79"/>
      <c r="I338" s="79"/>
      <c r="J338" s="79"/>
      <c r="K338" s="79"/>
    </row>
    <row r="339" spans="1:11" x14ac:dyDescent="0.25">
      <c r="A339" s="186">
        <v>3.1</v>
      </c>
      <c r="B339" s="46" t="s">
        <v>383</v>
      </c>
      <c r="C339" s="188" t="s">
        <v>389</v>
      </c>
      <c r="D339" s="46"/>
      <c r="E339" s="72" t="s">
        <v>390</v>
      </c>
      <c r="F339" s="72"/>
      <c r="G339" s="72"/>
      <c r="H339" s="72"/>
      <c r="I339" s="72"/>
      <c r="J339" s="72"/>
      <c r="K339" s="72"/>
    </row>
    <row r="340" spans="1:11" x14ac:dyDescent="0.25">
      <c r="A340" s="98"/>
      <c r="B340" s="46"/>
      <c r="C340" s="188"/>
      <c r="D340" s="46"/>
      <c r="E340" s="72" t="s">
        <v>391</v>
      </c>
      <c r="F340" s="72"/>
      <c r="G340" s="72"/>
      <c r="H340" s="72"/>
      <c r="I340" s="72"/>
      <c r="J340" s="72"/>
      <c r="K340" s="72"/>
    </row>
    <row r="341" spans="1:11" x14ac:dyDescent="0.25">
      <c r="A341" s="98"/>
      <c r="B341" s="46"/>
      <c r="C341" s="188"/>
      <c r="D341" s="46"/>
      <c r="E341" s="72" t="s">
        <v>392</v>
      </c>
      <c r="F341" s="72"/>
      <c r="G341" s="72"/>
      <c r="H341" s="72"/>
      <c r="I341" s="72"/>
      <c r="J341" s="72"/>
      <c r="K341" s="72"/>
    </row>
    <row r="342" spans="1:11" x14ac:dyDescent="0.25">
      <c r="A342" s="98"/>
      <c r="B342" s="46"/>
      <c r="C342" s="188"/>
      <c r="D342" s="46"/>
      <c r="E342" s="79"/>
      <c r="F342" s="79"/>
      <c r="G342" s="79"/>
      <c r="H342" s="79"/>
      <c r="I342" s="79"/>
      <c r="J342" s="79"/>
      <c r="K342" s="79"/>
    </row>
    <row r="343" spans="1:11" x14ac:dyDescent="0.25">
      <c r="A343" s="197"/>
      <c r="B343" s="46" t="s">
        <v>383</v>
      </c>
      <c r="C343" s="3" t="s">
        <v>393</v>
      </c>
      <c r="D343" s="46"/>
      <c r="E343" s="72" t="s">
        <v>26</v>
      </c>
      <c r="F343" s="72"/>
      <c r="G343" s="72"/>
      <c r="H343" s="72"/>
      <c r="I343" s="72"/>
      <c r="J343" s="72"/>
      <c r="K343" s="72"/>
    </row>
    <row r="344" spans="1:11" x14ac:dyDescent="0.25">
      <c r="A344" s="196"/>
      <c r="B344" s="46"/>
      <c r="C344" s="188"/>
      <c r="D344" s="46"/>
      <c r="E344" s="79"/>
      <c r="F344" s="79"/>
      <c r="G344" s="79"/>
      <c r="H344" s="79"/>
      <c r="I344" s="79"/>
      <c r="J344" s="79"/>
      <c r="K344" s="79"/>
    </row>
    <row r="345" spans="1:11" s="7" customFormat="1" x14ac:dyDescent="0.25">
      <c r="A345" s="144">
        <v>18.12</v>
      </c>
      <c r="B345" s="46" t="s">
        <v>374</v>
      </c>
      <c r="C345" s="3" t="s">
        <v>394</v>
      </c>
      <c r="D345" s="46"/>
      <c r="E345" s="151" t="s">
        <v>395</v>
      </c>
      <c r="F345" s="72"/>
      <c r="G345" s="72"/>
      <c r="H345" s="72"/>
      <c r="I345" s="72"/>
      <c r="J345" s="72"/>
      <c r="K345" s="72"/>
    </row>
    <row r="346" spans="1:11" x14ac:dyDescent="0.25">
      <c r="A346" s="185"/>
      <c r="B346" s="46"/>
      <c r="C346" s="188"/>
      <c r="D346" s="46"/>
      <c r="E346" s="151" t="s">
        <v>396</v>
      </c>
      <c r="F346" s="72"/>
      <c r="G346" s="72"/>
      <c r="H346" s="72"/>
      <c r="I346" s="72"/>
      <c r="J346" s="72"/>
      <c r="K346" s="72"/>
    </row>
    <row r="347" spans="1:11" x14ac:dyDescent="0.25">
      <c r="A347" s="185"/>
      <c r="B347" s="46"/>
      <c r="C347" s="188"/>
      <c r="D347" s="46"/>
      <c r="E347" s="151" t="s">
        <v>397</v>
      </c>
      <c r="F347" s="72"/>
      <c r="G347" s="72"/>
      <c r="H347" s="72"/>
      <c r="I347" s="72"/>
      <c r="J347" s="72"/>
      <c r="K347" s="72"/>
    </row>
    <row r="348" spans="1:11" x14ac:dyDescent="0.25">
      <c r="A348" s="185"/>
      <c r="B348" s="46"/>
      <c r="C348" s="188"/>
      <c r="D348" s="46"/>
      <c r="E348" s="91"/>
      <c r="F348" s="79"/>
      <c r="G348" s="79"/>
      <c r="H348" s="79"/>
      <c r="I348" s="79"/>
      <c r="J348" s="79"/>
      <c r="K348" s="79"/>
    </row>
    <row r="349" spans="1:11" s="7" customFormat="1" x14ac:dyDescent="0.25">
      <c r="A349" s="144" t="s">
        <v>398</v>
      </c>
      <c r="B349" s="46" t="s">
        <v>383</v>
      </c>
      <c r="C349" s="3" t="s">
        <v>399</v>
      </c>
      <c r="D349" s="46"/>
      <c r="E349" s="151" t="s">
        <v>400</v>
      </c>
      <c r="F349" s="151"/>
      <c r="G349" s="151"/>
      <c r="H349" s="151"/>
      <c r="I349" s="151"/>
      <c r="J349" s="151"/>
      <c r="K349" s="151"/>
    </row>
    <row r="350" spans="1:11" x14ac:dyDescent="0.25">
      <c r="A350" s="185"/>
      <c r="B350" s="46"/>
      <c r="C350" s="188"/>
      <c r="D350" s="46"/>
      <c r="E350" s="151" t="s">
        <v>401</v>
      </c>
      <c r="F350" s="151"/>
      <c r="G350" s="151"/>
      <c r="H350" s="151"/>
      <c r="I350" s="151"/>
      <c r="J350" s="151"/>
      <c r="K350" s="151"/>
    </row>
    <row r="351" spans="1:11" x14ac:dyDescent="0.25">
      <c r="A351" s="185"/>
      <c r="D351" s="46"/>
      <c r="E351" s="151" t="s">
        <v>402</v>
      </c>
      <c r="F351" s="151"/>
      <c r="G351" s="151"/>
      <c r="H351" s="151"/>
      <c r="I351" s="151"/>
      <c r="J351" s="151"/>
      <c r="K351" s="151"/>
    </row>
    <row r="352" spans="1:11" x14ac:dyDescent="0.25">
      <c r="A352" s="196"/>
      <c r="B352" s="46"/>
      <c r="C352" s="188"/>
      <c r="D352" s="46"/>
      <c r="E352" s="151" t="s">
        <v>403</v>
      </c>
      <c r="F352" s="151"/>
      <c r="G352" s="151"/>
      <c r="H352" s="151"/>
      <c r="I352" s="151"/>
      <c r="J352" s="151"/>
      <c r="K352" s="151"/>
    </row>
    <row r="353" spans="1:11" x14ac:dyDescent="0.25">
      <c r="A353" s="98"/>
      <c r="B353" s="46"/>
      <c r="C353" s="188"/>
      <c r="D353" s="46"/>
      <c r="E353" s="151" t="s">
        <v>404</v>
      </c>
      <c r="F353" s="151"/>
      <c r="G353" s="151"/>
      <c r="H353" s="151"/>
      <c r="I353" s="151"/>
      <c r="J353" s="151"/>
      <c r="K353" s="151"/>
    </row>
    <row r="354" spans="1:11" ht="13.8" thickBot="1" x14ac:dyDescent="0.3">
      <c r="A354" s="98"/>
      <c r="B354" s="46"/>
      <c r="C354" s="188"/>
      <c r="D354" s="46"/>
      <c r="E354" s="91"/>
      <c r="F354" s="91"/>
      <c r="G354" s="91"/>
      <c r="H354" s="91"/>
      <c r="I354" s="91"/>
      <c r="J354" s="91"/>
      <c r="K354" s="91"/>
    </row>
    <row r="355" spans="1:11" x14ac:dyDescent="0.25">
      <c r="A355" s="58" t="s">
        <v>405</v>
      </c>
      <c r="B355" s="45"/>
      <c r="C355" s="45"/>
      <c r="D355" s="45"/>
      <c r="E355" s="45"/>
      <c r="F355" s="45"/>
      <c r="G355" s="45"/>
      <c r="H355" s="45"/>
      <c r="I355" s="45"/>
      <c r="J355" s="45"/>
      <c r="K355" s="45"/>
    </row>
    <row r="356" spans="1:11" x14ac:dyDescent="0.25">
      <c r="A356" s="198" t="s">
        <v>406</v>
      </c>
      <c r="I356" s="3" t="s">
        <v>407</v>
      </c>
      <c r="J356" s="144">
        <v>12.4</v>
      </c>
    </row>
    <row r="357" spans="1:11" x14ac:dyDescent="0.25">
      <c r="C357" s="199" t="s">
        <v>408</v>
      </c>
      <c r="D357" s="200"/>
      <c r="F357" s="199" t="s">
        <v>409</v>
      </c>
      <c r="G357" s="200"/>
    </row>
    <row r="358" spans="1:11" ht="12.75" customHeight="1" x14ac:dyDescent="0.25">
      <c r="A358" s="46" t="s">
        <v>410</v>
      </c>
      <c r="C358" s="151" t="s">
        <v>26</v>
      </c>
      <c r="D358" s="201"/>
      <c r="E358" s="46"/>
      <c r="F358" s="202"/>
      <c r="G358" s="202"/>
    </row>
    <row r="359" spans="1:11" x14ac:dyDescent="0.25">
      <c r="A359" s="46" t="s">
        <v>411</v>
      </c>
      <c r="C359" s="151" t="s">
        <v>26</v>
      </c>
      <c r="D359" s="154"/>
      <c r="F359" s="202"/>
      <c r="G359" s="202"/>
    </row>
    <row r="360" spans="1:11" ht="14.4" x14ac:dyDescent="0.3">
      <c r="A360" s="46" t="s">
        <v>412</v>
      </c>
      <c r="C360" s="151" t="s">
        <v>26</v>
      </c>
      <c r="D360" s="154"/>
      <c r="E360" s="46"/>
      <c r="F360" s="169"/>
      <c r="G360" s="174"/>
      <c r="I360" s="203"/>
    </row>
    <row r="361" spans="1:11" x14ac:dyDescent="0.25">
      <c r="A361" s="46" t="s">
        <v>413</v>
      </c>
      <c r="C361" s="151" t="s">
        <v>26</v>
      </c>
      <c r="D361" s="72"/>
      <c r="F361" s="204"/>
      <c r="G361" s="204"/>
    </row>
    <row r="362" spans="1:11" x14ac:dyDescent="0.25">
      <c r="A362" s="46"/>
      <c r="C362" s="46"/>
      <c r="D362" s="46"/>
    </row>
    <row r="363" spans="1:11" x14ac:dyDescent="0.25">
      <c r="B363" s="50" t="s">
        <v>414</v>
      </c>
      <c r="C363" s="151" t="s">
        <v>415</v>
      </c>
      <c r="D363" s="72"/>
      <c r="E363" s="72"/>
      <c r="F363" s="72"/>
      <c r="G363" s="72"/>
      <c r="H363" s="72"/>
    </row>
    <row r="364" spans="1:11" x14ac:dyDescent="0.25">
      <c r="B364" s="50"/>
      <c r="C364" s="151" t="s">
        <v>416</v>
      </c>
      <c r="D364" s="72"/>
      <c r="E364" s="72"/>
      <c r="F364" s="72"/>
      <c r="G364" s="72"/>
      <c r="H364" s="72"/>
    </row>
    <row r="365" spans="1:11" x14ac:dyDescent="0.25">
      <c r="B365" s="50"/>
      <c r="C365" s="79"/>
      <c r="D365" s="79"/>
      <c r="E365" s="79"/>
      <c r="F365" s="79"/>
      <c r="G365" s="79"/>
      <c r="H365" s="79"/>
    </row>
    <row r="366" spans="1:11" x14ac:dyDescent="0.25">
      <c r="A366" s="60"/>
      <c r="B366" s="205"/>
      <c r="C366" s="79"/>
      <c r="D366" s="79"/>
      <c r="E366" s="79"/>
      <c r="F366" s="79"/>
      <c r="G366" s="79"/>
      <c r="H366" s="79"/>
    </row>
    <row r="367" spans="1:11" ht="16.2" thickBot="1" x14ac:dyDescent="0.35">
      <c r="A367" s="206"/>
      <c r="B367" s="207" t="s">
        <v>417</v>
      </c>
      <c r="C367" s="207"/>
      <c r="D367" s="207"/>
      <c r="E367" s="207"/>
      <c r="F367" s="207"/>
      <c r="G367" s="207"/>
      <c r="H367" s="206"/>
      <c r="I367" s="206"/>
      <c r="J367" s="206"/>
      <c r="K367" s="114"/>
    </row>
    <row r="368" spans="1:11" x14ac:dyDescent="0.25">
      <c r="A368" s="46"/>
      <c r="B368" s="208"/>
      <c r="C368" s="46"/>
      <c r="D368" s="46"/>
      <c r="E368" s="46"/>
      <c r="F368" s="46"/>
      <c r="G368" s="46"/>
      <c r="H368" s="46"/>
      <c r="I368" s="46"/>
      <c r="J368" s="46"/>
    </row>
    <row r="369" spans="1:11" x14ac:dyDescent="0.25">
      <c r="B369" s="50" t="s">
        <v>418</v>
      </c>
      <c r="C369" s="209" t="s">
        <v>26</v>
      </c>
      <c r="D369" s="210"/>
      <c r="E369" s="210"/>
      <c r="F369" s="210"/>
      <c r="G369" s="210"/>
      <c r="H369" s="46"/>
      <c r="I369" s="60"/>
      <c r="J369" s="46"/>
    </row>
    <row r="370" spans="1:11" x14ac:dyDescent="0.25">
      <c r="C370" s="50"/>
      <c r="E370" s="211"/>
      <c r="F370" s="46"/>
      <c r="G370" s="46"/>
      <c r="H370" s="46"/>
      <c r="I370" s="46"/>
      <c r="J370" s="46"/>
    </row>
    <row r="371" spans="1:11" x14ac:dyDescent="0.25">
      <c r="B371" s="50" t="s">
        <v>419</v>
      </c>
      <c r="C371" s="132" t="s">
        <v>92</v>
      </c>
      <c r="D371" s="132"/>
      <c r="E371" s="132"/>
      <c r="F371" s="132"/>
      <c r="G371" s="132"/>
      <c r="H371" s="46"/>
      <c r="I371" s="46"/>
      <c r="J371" s="46"/>
    </row>
    <row r="372" spans="1:11" ht="7.5" customHeight="1" x14ac:dyDescent="0.25">
      <c r="A372" s="46"/>
      <c r="B372" s="208"/>
      <c r="C372" s="46"/>
      <c r="D372" s="46"/>
      <c r="E372" s="46"/>
      <c r="F372" s="46"/>
      <c r="G372" s="46"/>
      <c r="H372" s="46"/>
      <c r="I372" s="46"/>
      <c r="J372" s="46"/>
    </row>
    <row r="373" spans="1:11" ht="30" customHeight="1" thickBot="1" x14ac:dyDescent="0.3">
      <c r="A373" s="212" t="s">
        <v>420</v>
      </c>
      <c r="B373" s="212"/>
      <c r="C373" s="213" t="s">
        <v>421</v>
      </c>
      <c r="D373" s="213"/>
      <c r="E373" s="214" t="s">
        <v>422</v>
      </c>
      <c r="F373" s="215"/>
      <c r="G373" s="214" t="s">
        <v>423</v>
      </c>
      <c r="H373" s="215"/>
      <c r="I373" s="216" t="s">
        <v>424</v>
      </c>
      <c r="J373" s="215"/>
      <c r="K373" s="114"/>
    </row>
    <row r="374" spans="1:11" ht="13.8" thickBot="1" x14ac:dyDescent="0.3">
      <c r="A374" s="217"/>
      <c r="B374" s="217"/>
      <c r="C374" s="218" t="s">
        <v>425</v>
      </c>
      <c r="D374" s="218"/>
      <c r="E374" s="219"/>
      <c r="F374" s="53"/>
      <c r="G374" s="219"/>
      <c r="H374" s="53"/>
      <c r="I374" s="219"/>
      <c r="J374" s="53"/>
      <c r="K374" s="220"/>
    </row>
    <row r="375" spans="1:11" ht="13.8" thickBot="1" x14ac:dyDescent="0.3">
      <c r="A375" s="81"/>
      <c r="B375" s="81"/>
      <c r="C375" s="218" t="s">
        <v>426</v>
      </c>
      <c r="D375" s="218"/>
      <c r="E375" s="219"/>
      <c r="F375" s="53"/>
      <c r="G375" s="219"/>
      <c r="H375" s="53"/>
      <c r="I375" s="219"/>
      <c r="J375" s="53"/>
      <c r="K375" s="220"/>
    </row>
    <row r="376" spans="1:11" ht="13.8" thickBot="1" x14ac:dyDescent="0.3">
      <c r="A376" s="81"/>
      <c r="B376" s="81"/>
      <c r="C376" s="218" t="s">
        <v>427</v>
      </c>
      <c r="D376" s="218"/>
      <c r="E376" s="219"/>
      <c r="F376" s="53"/>
      <c r="G376" s="219"/>
      <c r="H376" s="53"/>
      <c r="I376" s="219"/>
      <c r="J376" s="53"/>
      <c r="K376" s="220"/>
    </row>
    <row r="377" spans="1:11" ht="13.8" thickBot="1" x14ac:dyDescent="0.3">
      <c r="A377" s="81"/>
      <c r="B377" s="81"/>
      <c r="C377" s="218" t="s">
        <v>428</v>
      </c>
      <c r="D377" s="218"/>
      <c r="E377" s="219"/>
      <c r="F377" s="53"/>
      <c r="G377" s="219"/>
      <c r="H377" s="53"/>
      <c r="I377" s="219"/>
      <c r="J377" s="53"/>
      <c r="K377" s="220"/>
    </row>
    <row r="378" spans="1:11" ht="13.8" thickBot="1" x14ac:dyDescent="0.3">
      <c r="A378" s="81"/>
      <c r="B378" s="81"/>
      <c r="C378" s="218" t="s">
        <v>429</v>
      </c>
      <c r="D378" s="218"/>
      <c r="E378" s="219"/>
      <c r="F378" s="53"/>
      <c r="G378" s="219"/>
      <c r="H378" s="53"/>
      <c r="I378" s="219"/>
      <c r="J378" s="53"/>
      <c r="K378" s="220"/>
    </row>
    <row r="379" spans="1:11" ht="13.8" thickBot="1" x14ac:dyDescent="0.3">
      <c r="A379" s="81"/>
      <c r="B379" s="81"/>
      <c r="C379" s="218" t="s">
        <v>430</v>
      </c>
      <c r="D379" s="218"/>
      <c r="E379" s="219"/>
      <c r="F379" s="53"/>
      <c r="G379" s="219"/>
      <c r="H379" s="53"/>
      <c r="I379" s="219"/>
      <c r="J379" s="53"/>
      <c r="K379" s="220"/>
    </row>
    <row r="380" spans="1:11" ht="13.8" thickBot="1" x14ac:dyDescent="0.3">
      <c r="A380" s="81"/>
      <c r="B380" s="81"/>
      <c r="C380" s="218" t="s">
        <v>431</v>
      </c>
      <c r="D380" s="218"/>
      <c r="E380" s="219"/>
      <c r="F380" s="53"/>
      <c r="G380" s="219"/>
      <c r="H380" s="53"/>
      <c r="I380" s="219"/>
      <c r="J380" s="53"/>
      <c r="K380" s="220"/>
    </row>
    <row r="381" spans="1:11" ht="13.8" thickBot="1" x14ac:dyDescent="0.3">
      <c r="A381" s="81"/>
      <c r="B381" s="81"/>
      <c r="C381" s="218" t="s">
        <v>432</v>
      </c>
      <c r="D381" s="218"/>
      <c r="E381" s="219"/>
      <c r="F381" s="53"/>
      <c r="G381" s="219"/>
      <c r="H381" s="53"/>
      <c r="I381" s="219"/>
      <c r="J381" s="53"/>
      <c r="K381" s="220"/>
    </row>
    <row r="382" spans="1:11" ht="13.8" thickBot="1" x14ac:dyDescent="0.3">
      <c r="A382" s="81"/>
      <c r="B382" s="81"/>
      <c r="C382" s="218" t="s">
        <v>433</v>
      </c>
      <c r="D382" s="218"/>
      <c r="E382" s="219"/>
      <c r="F382" s="53"/>
      <c r="G382" s="219"/>
      <c r="H382" s="53"/>
      <c r="I382" s="219"/>
      <c r="J382" s="53"/>
      <c r="K382" s="220"/>
    </row>
    <row r="383" spans="1:11" ht="13.8" thickBot="1" x14ac:dyDescent="0.3">
      <c r="A383" s="81"/>
      <c r="B383" s="81"/>
      <c r="C383" s="218" t="s">
        <v>434</v>
      </c>
      <c r="D383" s="218"/>
      <c r="E383" s="219"/>
      <c r="F383" s="53"/>
      <c r="G383" s="219"/>
      <c r="H383" s="53"/>
      <c r="I383" s="219"/>
      <c r="J383" s="53"/>
      <c r="K383" s="220"/>
    </row>
    <row r="384" spans="1:11" ht="13.8" thickBot="1" x14ac:dyDescent="0.3">
      <c r="A384" s="81"/>
      <c r="B384" s="81"/>
      <c r="C384" s="218" t="s">
        <v>435</v>
      </c>
      <c r="D384" s="218"/>
      <c r="E384" s="219"/>
      <c r="F384" s="53"/>
      <c r="G384" s="219"/>
      <c r="H384" s="53"/>
      <c r="I384" s="219"/>
      <c r="J384" s="53"/>
      <c r="K384" s="220"/>
    </row>
    <row r="385" spans="1:11" ht="13.8" thickBot="1" x14ac:dyDescent="0.3">
      <c r="A385" s="81"/>
      <c r="B385" s="81"/>
      <c r="C385" s="218" t="s">
        <v>436</v>
      </c>
      <c r="D385" s="218"/>
      <c r="E385" s="219"/>
      <c r="F385" s="53"/>
      <c r="G385" s="219"/>
      <c r="H385" s="53"/>
      <c r="I385" s="219"/>
      <c r="J385" s="53"/>
      <c r="K385" s="220"/>
    </row>
    <row r="386" spans="1:11" ht="13.8" thickBot="1" x14ac:dyDescent="0.3">
      <c r="A386" s="81"/>
      <c r="B386" s="81"/>
      <c r="C386" s="218" t="s">
        <v>437</v>
      </c>
      <c r="D386" s="218"/>
      <c r="E386" s="219"/>
      <c r="F386" s="53"/>
      <c r="G386" s="219"/>
      <c r="H386" s="53"/>
      <c r="I386" s="219"/>
      <c r="J386" s="53"/>
      <c r="K386" s="220"/>
    </row>
    <row r="387" spans="1:11" ht="13.8" thickBot="1" x14ac:dyDescent="0.3">
      <c r="A387" s="81"/>
      <c r="B387" s="81"/>
      <c r="C387" s="221" t="s">
        <v>438</v>
      </c>
      <c r="D387" s="221"/>
      <c r="E387" s="219"/>
      <c r="F387" s="53"/>
      <c r="G387" s="219"/>
      <c r="H387" s="53"/>
      <c r="I387" s="219"/>
      <c r="J387" s="53"/>
      <c r="K387" s="220"/>
    </row>
    <row r="388" spans="1:11" ht="13.8" thickBot="1" x14ac:dyDescent="0.3">
      <c r="A388" s="81"/>
      <c r="B388" s="81"/>
      <c r="C388" s="218" t="s">
        <v>439</v>
      </c>
      <c r="D388" s="218"/>
      <c r="E388" s="219"/>
      <c r="F388" s="53"/>
      <c r="G388" s="219"/>
      <c r="H388" s="53"/>
      <c r="I388" s="219"/>
      <c r="J388" s="53"/>
      <c r="K388" s="220"/>
    </row>
    <row r="389" spans="1:11" ht="13.8" thickBot="1" x14ac:dyDescent="0.3">
      <c r="A389" s="81"/>
      <c r="B389" s="81"/>
      <c r="C389" s="218" t="s">
        <v>440</v>
      </c>
      <c r="D389" s="218"/>
      <c r="E389" s="219"/>
      <c r="F389" s="53"/>
      <c r="G389" s="219"/>
      <c r="H389" s="53"/>
      <c r="I389" s="219"/>
      <c r="J389" s="53"/>
      <c r="K389" s="220"/>
    </row>
    <row r="390" spans="1:11" ht="13.8" thickBot="1" x14ac:dyDescent="0.3">
      <c r="A390" s="81"/>
      <c r="B390" s="81"/>
      <c r="C390" s="218" t="s">
        <v>441</v>
      </c>
      <c r="D390" s="218"/>
      <c r="E390" s="219"/>
      <c r="F390" s="53"/>
      <c r="G390" s="219"/>
      <c r="H390" s="53"/>
      <c r="I390" s="219"/>
      <c r="J390" s="53"/>
      <c r="K390" s="220"/>
    </row>
    <row r="391" spans="1:11" ht="13.8" thickBot="1" x14ac:dyDescent="0.3">
      <c r="A391" s="81"/>
      <c r="B391" s="81"/>
      <c r="C391" s="218" t="s">
        <v>442</v>
      </c>
      <c r="D391" s="218"/>
      <c r="E391" s="219"/>
      <c r="F391" s="53"/>
      <c r="G391" s="219"/>
      <c r="H391" s="53"/>
      <c r="I391" s="219"/>
      <c r="J391" s="53"/>
      <c r="K391" s="220"/>
    </row>
    <row r="392" spans="1:11" ht="13.8" thickBot="1" x14ac:dyDescent="0.3">
      <c r="A392" s="81"/>
      <c r="B392" s="81"/>
      <c r="C392" s="218" t="s">
        <v>443</v>
      </c>
      <c r="D392" s="218"/>
      <c r="E392" s="219"/>
      <c r="F392" s="53"/>
      <c r="G392" s="219"/>
      <c r="H392" s="53"/>
      <c r="I392" s="219"/>
      <c r="J392" s="53"/>
      <c r="K392" s="220"/>
    </row>
    <row r="393" spans="1:11" ht="13.8" thickBot="1" x14ac:dyDescent="0.3">
      <c r="A393" s="81"/>
      <c r="B393" s="81"/>
      <c r="C393" s="218" t="s">
        <v>444</v>
      </c>
      <c r="D393" s="218"/>
      <c r="E393" s="219"/>
      <c r="F393" s="53"/>
      <c r="G393" s="219"/>
      <c r="H393" s="53"/>
      <c r="I393" s="219"/>
      <c r="J393" s="53"/>
      <c r="K393" s="220"/>
    </row>
    <row r="394" spans="1:11" ht="13.8" thickBot="1" x14ac:dyDescent="0.3">
      <c r="A394" s="81"/>
      <c r="B394" s="81"/>
      <c r="C394" s="218" t="s">
        <v>445</v>
      </c>
      <c r="D394" s="218"/>
      <c r="E394" s="219"/>
      <c r="F394" s="53"/>
      <c r="G394" s="219"/>
      <c r="H394" s="53"/>
      <c r="I394" s="219"/>
      <c r="J394" s="53"/>
      <c r="K394" s="220"/>
    </row>
    <row r="395" spans="1:11" ht="13.8" thickBot="1" x14ac:dyDescent="0.3">
      <c r="A395" s="81"/>
      <c r="B395" s="81"/>
      <c r="C395" s="218" t="s">
        <v>446</v>
      </c>
      <c r="D395" s="218"/>
      <c r="E395" s="219"/>
      <c r="F395" s="53"/>
      <c r="G395" s="219"/>
      <c r="H395" s="53"/>
      <c r="I395" s="219"/>
      <c r="J395" s="53"/>
      <c r="K395" s="220"/>
    </row>
    <row r="396" spans="1:11" ht="13.8" thickBot="1" x14ac:dyDescent="0.3">
      <c r="A396" s="81"/>
      <c r="B396" s="81"/>
      <c r="C396" s="218" t="s">
        <v>447</v>
      </c>
      <c r="D396" s="218"/>
      <c r="E396" s="219"/>
      <c r="F396" s="53"/>
      <c r="G396" s="219"/>
      <c r="H396" s="53"/>
      <c r="I396" s="219"/>
      <c r="J396" s="53"/>
      <c r="K396" s="220"/>
    </row>
    <row r="397" spans="1:11" ht="13.8" thickBot="1" x14ac:dyDescent="0.3">
      <c r="A397" s="81"/>
      <c r="B397" s="81"/>
      <c r="C397" s="218" t="s">
        <v>448</v>
      </c>
      <c r="D397" s="218"/>
      <c r="E397" s="219"/>
      <c r="F397" s="53"/>
      <c r="G397" s="219"/>
      <c r="H397" s="53"/>
      <c r="I397" s="219"/>
      <c r="J397" s="53"/>
      <c r="K397" s="220"/>
    </row>
    <row r="398" spans="1:11" ht="13.8" thickBot="1" x14ac:dyDescent="0.3">
      <c r="A398" s="81"/>
      <c r="B398" s="81"/>
      <c r="C398" s="218" t="s">
        <v>449</v>
      </c>
      <c r="D398" s="218"/>
      <c r="E398" s="219"/>
      <c r="F398" s="53"/>
      <c r="G398" s="219"/>
      <c r="H398" s="53"/>
      <c r="I398" s="219"/>
      <c r="J398" s="53"/>
      <c r="K398" s="220"/>
    </row>
    <row r="399" spans="1:11" ht="13.8" thickBot="1" x14ac:dyDescent="0.3">
      <c r="A399" s="81"/>
      <c r="B399" s="81"/>
      <c r="C399" s="218" t="s">
        <v>450</v>
      </c>
      <c r="D399" s="218"/>
      <c r="E399" s="219"/>
      <c r="F399" s="53"/>
      <c r="G399" s="219"/>
      <c r="H399" s="53"/>
      <c r="I399" s="219"/>
      <c r="J399" s="53"/>
      <c r="K399" s="220"/>
    </row>
    <row r="400" spans="1:11" ht="13.8" thickBot="1" x14ac:dyDescent="0.3">
      <c r="A400" s="81"/>
      <c r="B400" s="81"/>
      <c r="C400" s="218" t="s">
        <v>360</v>
      </c>
      <c r="D400" s="218"/>
      <c r="E400" s="219"/>
      <c r="F400" s="53"/>
      <c r="G400" s="219"/>
      <c r="H400" s="53"/>
      <c r="I400" s="219"/>
      <c r="J400" s="53"/>
      <c r="K400" s="220"/>
    </row>
    <row r="401" spans="1:11" ht="13.8" thickBot="1" x14ac:dyDescent="0.3">
      <c r="A401" s="81"/>
      <c r="B401" s="81"/>
      <c r="C401" s="218" t="s">
        <v>451</v>
      </c>
      <c r="D401" s="218"/>
      <c r="E401" s="219"/>
      <c r="F401" s="53"/>
      <c r="G401" s="219"/>
      <c r="H401" s="53"/>
      <c r="I401" s="219"/>
      <c r="J401" s="53"/>
      <c r="K401" s="220"/>
    </row>
    <row r="402" spans="1:11" ht="13.8" thickBot="1" x14ac:dyDescent="0.3">
      <c r="A402" s="81"/>
      <c r="B402" s="81"/>
      <c r="C402" s="218" t="s">
        <v>452</v>
      </c>
      <c r="D402" s="218"/>
      <c r="E402" s="219"/>
      <c r="F402" s="53"/>
      <c r="G402" s="219"/>
      <c r="H402" s="53"/>
      <c r="I402" s="219"/>
      <c r="J402" s="53"/>
      <c r="K402" s="220"/>
    </row>
    <row r="403" spans="1:11" ht="13.8" thickBot="1" x14ac:dyDescent="0.3">
      <c r="A403" s="81"/>
      <c r="B403" s="81"/>
      <c r="C403" s="218" t="s">
        <v>453</v>
      </c>
      <c r="D403" s="218"/>
      <c r="E403" s="219"/>
      <c r="F403" s="53"/>
      <c r="G403" s="219"/>
      <c r="H403" s="53"/>
      <c r="I403" s="219"/>
      <c r="J403" s="53"/>
      <c r="K403" s="220"/>
    </row>
    <row r="404" spans="1:11" ht="13.8" thickBot="1" x14ac:dyDescent="0.3">
      <c r="A404" s="81"/>
      <c r="B404" s="81"/>
      <c r="C404" s="218" t="s">
        <v>454</v>
      </c>
      <c r="D404" s="218"/>
      <c r="E404" s="219"/>
      <c r="F404" s="53"/>
      <c r="G404" s="219"/>
      <c r="H404" s="53"/>
      <c r="I404" s="219"/>
      <c r="J404" s="53"/>
      <c r="K404" s="220"/>
    </row>
    <row r="405" spans="1:11" ht="13.8" thickBot="1" x14ac:dyDescent="0.3">
      <c r="A405" s="81"/>
      <c r="B405" s="81"/>
      <c r="C405" s="218" t="s">
        <v>455</v>
      </c>
      <c r="D405" s="218"/>
      <c r="E405" s="219"/>
      <c r="F405" s="53"/>
      <c r="G405" s="219"/>
      <c r="H405" s="53"/>
      <c r="I405" s="219"/>
      <c r="J405" s="53"/>
      <c r="K405" s="220"/>
    </row>
    <row r="406" spans="1:11" ht="13.8" thickBot="1" x14ac:dyDescent="0.3">
      <c r="A406" s="81"/>
      <c r="B406" s="81"/>
      <c r="C406" s="221" t="s">
        <v>456</v>
      </c>
      <c r="D406" s="221"/>
      <c r="E406" s="219"/>
      <c r="F406" s="53"/>
      <c r="G406" s="219"/>
      <c r="H406" s="53"/>
      <c r="I406" s="219"/>
      <c r="J406" s="53"/>
      <c r="K406" s="220"/>
    </row>
    <row r="407" spans="1:11" ht="13.8" thickBot="1" x14ac:dyDescent="0.3">
      <c r="A407" s="81"/>
      <c r="B407" s="81"/>
      <c r="C407" s="218" t="s">
        <v>457</v>
      </c>
      <c r="D407" s="218"/>
      <c r="E407" s="219"/>
      <c r="F407" s="53"/>
      <c r="G407" s="219"/>
      <c r="H407" s="53"/>
      <c r="I407" s="219"/>
      <c r="J407" s="53"/>
      <c r="K407" s="220"/>
    </row>
    <row r="408" spans="1:11" ht="13.8" thickBot="1" x14ac:dyDescent="0.3">
      <c r="A408" s="81"/>
      <c r="B408" s="81"/>
      <c r="C408" s="218" t="s">
        <v>458</v>
      </c>
      <c r="D408" s="218"/>
      <c r="E408" s="219"/>
      <c r="F408" s="53"/>
      <c r="G408" s="219"/>
      <c r="H408" s="53"/>
      <c r="I408" s="219"/>
      <c r="J408" s="53"/>
      <c r="K408" s="220"/>
    </row>
    <row r="409" spans="1:11" ht="13.8" thickBot="1" x14ac:dyDescent="0.3">
      <c r="A409" s="81"/>
      <c r="B409" s="81"/>
      <c r="C409" s="218" t="s">
        <v>459</v>
      </c>
      <c r="D409" s="218"/>
      <c r="E409" s="219"/>
      <c r="F409" s="53"/>
      <c r="G409" s="222"/>
      <c r="H409" s="53"/>
      <c r="I409" s="219"/>
      <c r="J409" s="53"/>
      <c r="K409" s="220"/>
    </row>
    <row r="410" spans="1:11" ht="13.8" thickBot="1" x14ac:dyDescent="0.3">
      <c r="A410" s="81"/>
      <c r="B410" s="81"/>
      <c r="C410" s="218" t="s">
        <v>460</v>
      </c>
      <c r="D410" s="218"/>
      <c r="E410" s="219"/>
      <c r="F410" s="53"/>
      <c r="G410" s="219"/>
      <c r="H410" s="53"/>
      <c r="I410" s="219"/>
      <c r="J410" s="53"/>
      <c r="K410" s="220"/>
    </row>
    <row r="411" spans="1:11" ht="13.8" thickBot="1" x14ac:dyDescent="0.3">
      <c r="A411" s="81"/>
      <c r="B411" s="81"/>
      <c r="C411" s="223" t="s">
        <v>461</v>
      </c>
      <c r="D411" s="223"/>
      <c r="E411" s="219"/>
      <c r="F411" s="53"/>
      <c r="G411" s="219"/>
      <c r="H411" s="53"/>
      <c r="I411" s="219"/>
      <c r="J411" s="53"/>
      <c r="K411" s="220"/>
    </row>
    <row r="412" spans="1:11" ht="13.8" thickBot="1" x14ac:dyDescent="0.3">
      <c r="A412" s="81"/>
      <c r="B412" s="81"/>
      <c r="C412" s="218" t="s">
        <v>462</v>
      </c>
      <c r="D412" s="218"/>
      <c r="E412" s="219"/>
      <c r="F412" s="53"/>
      <c r="G412" s="219"/>
      <c r="H412" s="53"/>
      <c r="I412" s="219"/>
      <c r="J412" s="53"/>
      <c r="K412" s="220"/>
    </row>
    <row r="413" spans="1:11" ht="13.8" thickBot="1" x14ac:dyDescent="0.3">
      <c r="A413" s="81"/>
      <c r="B413" s="81"/>
      <c r="C413" s="218" t="s">
        <v>463</v>
      </c>
      <c r="D413" s="218"/>
      <c r="E413" s="219"/>
      <c r="F413" s="53"/>
      <c r="G413" s="219"/>
      <c r="H413" s="53"/>
      <c r="I413" s="219"/>
      <c r="J413" s="53"/>
      <c r="K413" s="220"/>
    </row>
    <row r="414" spans="1:11" ht="13.8" thickBot="1" x14ac:dyDescent="0.3">
      <c r="A414" s="81"/>
      <c r="B414" s="81"/>
      <c r="C414" s="218" t="s">
        <v>464</v>
      </c>
      <c r="D414" s="218"/>
      <c r="E414" s="219"/>
      <c r="F414" s="53"/>
      <c r="G414" s="219"/>
      <c r="H414" s="53"/>
      <c r="I414" s="219"/>
      <c r="J414" s="53"/>
      <c r="K414" s="220"/>
    </row>
    <row r="415" spans="1:11" ht="13.8" thickBot="1" x14ac:dyDescent="0.3">
      <c r="A415" s="81"/>
      <c r="B415" s="81"/>
      <c r="C415" s="218" t="s">
        <v>465</v>
      </c>
      <c r="D415" s="218"/>
      <c r="E415" s="219"/>
      <c r="F415" s="53"/>
      <c r="G415" s="219"/>
      <c r="H415" s="53"/>
      <c r="I415" s="219"/>
      <c r="J415" s="53"/>
      <c r="K415" s="220"/>
    </row>
    <row r="416" spans="1:11" ht="13.8" thickBot="1" x14ac:dyDescent="0.3">
      <c r="A416" s="81"/>
      <c r="B416" s="81"/>
      <c r="C416" s="218" t="s">
        <v>466</v>
      </c>
      <c r="D416" s="218"/>
      <c r="E416" s="219"/>
      <c r="F416" s="53"/>
      <c r="G416" s="219"/>
      <c r="H416" s="53"/>
      <c r="I416" s="219"/>
      <c r="J416" s="53"/>
      <c r="K416" s="220"/>
    </row>
    <row r="417" spans="1:11" ht="13.8" thickBot="1" x14ac:dyDescent="0.3">
      <c r="A417" s="81"/>
      <c r="B417" s="81"/>
      <c r="C417" s="218" t="s">
        <v>467</v>
      </c>
      <c r="D417" s="218"/>
      <c r="E417" s="219"/>
      <c r="F417" s="53"/>
      <c r="G417" s="219"/>
      <c r="H417" s="53"/>
      <c r="I417" s="219"/>
      <c r="J417" s="53"/>
      <c r="K417" s="220"/>
    </row>
    <row r="418" spans="1:11" ht="13.8" thickBot="1" x14ac:dyDescent="0.3">
      <c r="A418" s="81"/>
      <c r="B418" s="81"/>
      <c r="C418" s="221" t="s">
        <v>468</v>
      </c>
      <c r="D418" s="221"/>
      <c r="E418" s="219"/>
      <c r="F418" s="53"/>
      <c r="G418" s="219"/>
      <c r="H418" s="53"/>
      <c r="I418" s="219"/>
      <c r="J418" s="53"/>
      <c r="K418" s="220"/>
    </row>
    <row r="419" spans="1:11" x14ac:dyDescent="0.25">
      <c r="A419" s="46"/>
      <c r="C419" s="46"/>
      <c r="E419" s="208"/>
      <c r="F419" s="208"/>
      <c r="G419" s="208"/>
      <c r="H419" s="208"/>
      <c r="I419" s="208" t="s">
        <v>469</v>
      </c>
      <c r="J419" s="208"/>
      <c r="K419" s="208"/>
    </row>
    <row r="420" spans="1:11" ht="13.8" thickBot="1" x14ac:dyDescent="0.3">
      <c r="A420" s="212" t="s">
        <v>420</v>
      </c>
      <c r="B420" s="212"/>
      <c r="C420" s="212" t="s">
        <v>421</v>
      </c>
      <c r="D420" s="212"/>
      <c r="E420" s="215" t="s">
        <v>470</v>
      </c>
      <c r="F420" s="215"/>
      <c r="G420" s="215" t="s">
        <v>471</v>
      </c>
      <c r="H420" s="215"/>
      <c r="I420" s="215" t="s">
        <v>472</v>
      </c>
      <c r="J420" s="215"/>
      <c r="K420" s="215"/>
    </row>
    <row r="421" spans="1:11" ht="13.8" thickBot="1" x14ac:dyDescent="0.3">
      <c r="A421" s="217"/>
      <c r="B421" s="217"/>
      <c r="C421" s="224" t="s">
        <v>473</v>
      </c>
      <c r="D421" s="224"/>
      <c r="E421" s="219"/>
      <c r="F421" s="53"/>
      <c r="G421" s="219"/>
      <c r="H421" s="53"/>
      <c r="I421" s="219"/>
      <c r="J421" s="53"/>
      <c r="K421" s="220"/>
    </row>
    <row r="422" spans="1:11" ht="13.8" thickBot="1" x14ac:dyDescent="0.3">
      <c r="A422" s="81"/>
      <c r="B422" s="81"/>
      <c r="C422" s="225" t="s">
        <v>474</v>
      </c>
      <c r="D422" s="225"/>
      <c r="E422" s="219"/>
      <c r="F422" s="53"/>
      <c r="G422" s="219"/>
      <c r="H422" s="53"/>
      <c r="I422" s="219"/>
      <c r="J422" s="53"/>
      <c r="K422" s="220"/>
    </row>
    <row r="423" spans="1:11" ht="13.8" thickBot="1" x14ac:dyDescent="0.3">
      <c r="A423" s="81"/>
      <c r="B423" s="81"/>
      <c r="C423" s="225" t="s">
        <v>475</v>
      </c>
      <c r="D423" s="225"/>
      <c r="E423" s="219"/>
      <c r="F423" s="53"/>
      <c r="G423" s="219"/>
      <c r="H423" s="53"/>
      <c r="I423" s="219"/>
      <c r="J423" s="53"/>
      <c r="K423" s="220"/>
    </row>
    <row r="424" spans="1:11" ht="13.8" thickBot="1" x14ac:dyDescent="0.3">
      <c r="A424" s="81"/>
      <c r="B424" s="81"/>
      <c r="C424" s="225" t="s">
        <v>476</v>
      </c>
      <c r="D424" s="225"/>
      <c r="E424" s="219"/>
      <c r="F424" s="53"/>
      <c r="G424" s="219"/>
      <c r="H424" s="53"/>
      <c r="I424" s="219"/>
      <c r="J424" s="53"/>
      <c r="K424" s="220"/>
    </row>
    <row r="425" spans="1:11" ht="13.8" thickBot="1" x14ac:dyDescent="0.3">
      <c r="A425" s="81"/>
      <c r="B425" s="81"/>
      <c r="C425" s="226" t="s">
        <v>477</v>
      </c>
      <c r="D425" s="226"/>
      <c r="E425" s="219"/>
      <c r="F425" s="53"/>
      <c r="G425" s="219"/>
      <c r="H425" s="53"/>
      <c r="I425" s="219"/>
      <c r="J425" s="53"/>
      <c r="K425" s="220"/>
    </row>
    <row r="426" spans="1:11" ht="13.8" thickBot="1" x14ac:dyDescent="0.3">
      <c r="A426" s="81"/>
      <c r="B426" s="81"/>
      <c r="C426" s="225" t="s">
        <v>478</v>
      </c>
      <c r="D426" s="225"/>
      <c r="E426" s="219"/>
      <c r="F426" s="53"/>
      <c r="G426" s="219"/>
      <c r="H426" s="53"/>
      <c r="I426" s="219"/>
      <c r="J426" s="53"/>
      <c r="K426" s="220"/>
    </row>
    <row r="427" spans="1:11" ht="13.8" thickBot="1" x14ac:dyDescent="0.3">
      <c r="A427" s="81"/>
      <c r="B427" s="81"/>
      <c r="C427" s="226" t="s">
        <v>479</v>
      </c>
      <c r="D427" s="226"/>
      <c r="E427" s="219"/>
      <c r="F427" s="53"/>
      <c r="G427" s="219"/>
      <c r="H427" s="53"/>
      <c r="I427" s="219"/>
      <c r="J427" s="53"/>
      <c r="K427" s="220"/>
    </row>
    <row r="428" spans="1:11" ht="13.8" thickBot="1" x14ac:dyDescent="0.3">
      <c r="A428" s="81"/>
      <c r="B428" s="81"/>
      <c r="C428" s="225" t="s">
        <v>480</v>
      </c>
      <c r="D428" s="225"/>
      <c r="E428" s="219"/>
      <c r="F428" s="53"/>
      <c r="G428" s="219"/>
      <c r="H428" s="53"/>
      <c r="I428" s="219"/>
      <c r="J428" s="53"/>
      <c r="K428" s="220"/>
    </row>
    <row r="429" spans="1:11" ht="13.8" thickBot="1" x14ac:dyDescent="0.3">
      <c r="A429" s="81"/>
      <c r="B429" s="81"/>
      <c r="C429" s="225" t="s">
        <v>481</v>
      </c>
      <c r="D429" s="225"/>
      <c r="E429" s="219"/>
      <c r="F429" s="53"/>
      <c r="G429" s="219"/>
      <c r="H429" s="53"/>
      <c r="I429" s="219"/>
      <c r="J429" s="53"/>
      <c r="K429" s="220"/>
    </row>
    <row r="430" spans="1:11" ht="13.8" thickBot="1" x14ac:dyDescent="0.3">
      <c r="A430" s="81"/>
      <c r="B430" s="81"/>
      <c r="C430" s="225" t="s">
        <v>482</v>
      </c>
      <c r="D430" s="225"/>
      <c r="E430" s="219"/>
      <c r="F430" s="53"/>
      <c r="G430" s="219"/>
      <c r="H430" s="53"/>
      <c r="I430" s="219"/>
      <c r="J430" s="53"/>
      <c r="K430" s="220"/>
    </row>
    <row r="431" spans="1:11" ht="13.8" thickBot="1" x14ac:dyDescent="0.3">
      <c r="A431" s="81"/>
      <c r="B431" s="81"/>
      <c r="C431" s="225" t="s">
        <v>483</v>
      </c>
      <c r="D431" s="225"/>
      <c r="E431" s="219"/>
      <c r="F431" s="53"/>
      <c r="G431" s="219"/>
      <c r="H431" s="53"/>
      <c r="I431" s="219"/>
      <c r="J431" s="53"/>
      <c r="K431" s="220"/>
    </row>
    <row r="432" spans="1:11" ht="13.8" thickBot="1" x14ac:dyDescent="0.3">
      <c r="A432" s="81"/>
      <c r="B432" s="81"/>
      <c r="C432" s="225" t="s">
        <v>484</v>
      </c>
      <c r="D432" s="225"/>
      <c r="E432" s="219"/>
      <c r="F432" s="53"/>
      <c r="G432" s="219"/>
      <c r="H432" s="53"/>
      <c r="I432" s="219"/>
      <c r="J432" s="53"/>
      <c r="K432" s="220"/>
    </row>
    <row r="433" spans="1:11" ht="13.8" thickBot="1" x14ac:dyDescent="0.3">
      <c r="A433" s="81"/>
      <c r="B433" s="81"/>
      <c r="C433" s="225" t="s">
        <v>485</v>
      </c>
      <c r="D433" s="225"/>
      <c r="E433" s="219"/>
      <c r="F433" s="53"/>
      <c r="G433" s="219"/>
      <c r="H433" s="53"/>
      <c r="I433" s="219"/>
      <c r="J433" s="53"/>
      <c r="K433" s="220"/>
    </row>
    <row r="434" spans="1:11" ht="13.8" thickBot="1" x14ac:dyDescent="0.3">
      <c r="A434" s="81"/>
      <c r="B434" s="81"/>
      <c r="C434" s="225" t="s">
        <v>486</v>
      </c>
      <c r="D434" s="225"/>
      <c r="E434" s="219"/>
      <c r="F434" s="53"/>
      <c r="G434" s="219"/>
      <c r="H434" s="53"/>
      <c r="I434" s="219"/>
      <c r="J434" s="53"/>
      <c r="K434" s="220"/>
    </row>
    <row r="435" spans="1:11" ht="13.8" thickBot="1" x14ac:dyDescent="0.3">
      <c r="A435" s="81"/>
      <c r="B435" s="81"/>
      <c r="C435" s="225" t="s">
        <v>487</v>
      </c>
      <c r="D435" s="225"/>
      <c r="E435" s="219"/>
      <c r="F435" s="53"/>
      <c r="G435" s="219"/>
      <c r="H435" s="53"/>
      <c r="I435" s="219"/>
      <c r="J435" s="53"/>
      <c r="K435" s="220"/>
    </row>
    <row r="436" spans="1:11" ht="13.8" thickBot="1" x14ac:dyDescent="0.3">
      <c r="A436" s="81"/>
      <c r="B436" s="81"/>
      <c r="C436" s="225" t="s">
        <v>488</v>
      </c>
      <c r="D436" s="225"/>
      <c r="E436" s="219"/>
      <c r="F436" s="53"/>
      <c r="G436" s="219"/>
      <c r="H436" s="53"/>
      <c r="I436" s="219"/>
      <c r="J436" s="53"/>
      <c r="K436" s="220"/>
    </row>
    <row r="437" spans="1:11" ht="13.8" thickBot="1" x14ac:dyDescent="0.3">
      <c r="A437" s="81"/>
      <c r="B437" s="81"/>
      <c r="C437" s="225" t="s">
        <v>489</v>
      </c>
      <c r="D437" s="225"/>
      <c r="E437" s="219"/>
      <c r="F437" s="53"/>
      <c r="G437" s="219"/>
      <c r="H437" s="53"/>
      <c r="I437" s="219"/>
      <c r="J437" s="53"/>
      <c r="K437" s="220"/>
    </row>
    <row r="438" spans="1:11" ht="13.8" thickBot="1" x14ac:dyDescent="0.3">
      <c r="A438" s="81"/>
      <c r="B438" s="81"/>
      <c r="C438" s="225" t="s">
        <v>490</v>
      </c>
      <c r="D438" s="225"/>
      <c r="E438" s="219"/>
      <c r="F438" s="53"/>
      <c r="G438" s="219"/>
      <c r="H438" s="53"/>
      <c r="I438" s="219"/>
      <c r="J438" s="53"/>
      <c r="K438" s="220"/>
    </row>
    <row r="439" spans="1:11" ht="13.8" thickBot="1" x14ac:dyDescent="0.3">
      <c r="A439" s="81"/>
      <c r="B439" s="81"/>
      <c r="C439" s="225" t="s">
        <v>491</v>
      </c>
      <c r="D439" s="225"/>
      <c r="E439" s="219"/>
      <c r="F439" s="53"/>
      <c r="G439" s="219"/>
      <c r="H439" s="53"/>
      <c r="I439" s="219"/>
      <c r="J439" s="53"/>
      <c r="K439" s="220"/>
    </row>
    <row r="440" spans="1:11" ht="13.8" thickBot="1" x14ac:dyDescent="0.3">
      <c r="A440" s="81"/>
      <c r="B440" s="81"/>
      <c r="C440" s="227" t="s">
        <v>492</v>
      </c>
      <c r="D440" s="227"/>
      <c r="E440" s="219"/>
      <c r="F440" s="53"/>
      <c r="G440" s="219"/>
      <c r="H440" s="53"/>
      <c r="I440" s="219"/>
      <c r="J440" s="53"/>
      <c r="K440" s="220"/>
    </row>
    <row r="441" spans="1:11" ht="13.8" thickBot="1" x14ac:dyDescent="0.3">
      <c r="A441" s="81"/>
      <c r="B441" s="81"/>
      <c r="C441" s="225" t="s">
        <v>493</v>
      </c>
      <c r="D441" s="225"/>
      <c r="E441" s="219"/>
      <c r="F441" s="53"/>
      <c r="G441" s="219"/>
      <c r="H441" s="53"/>
      <c r="I441" s="219"/>
      <c r="J441" s="53"/>
      <c r="K441" s="220"/>
    </row>
    <row r="442" spans="1:11" ht="13.8" thickBot="1" x14ac:dyDescent="0.3">
      <c r="A442" s="81"/>
      <c r="B442" s="81"/>
      <c r="C442" s="225" t="s">
        <v>494</v>
      </c>
      <c r="D442" s="225"/>
      <c r="E442" s="219"/>
      <c r="F442" s="53"/>
      <c r="G442" s="219"/>
      <c r="H442" s="53"/>
      <c r="I442" s="219"/>
      <c r="J442" s="53"/>
      <c r="K442" s="220"/>
    </row>
    <row r="443" spans="1:11" ht="13.8" thickBot="1" x14ac:dyDescent="0.3">
      <c r="A443" s="81"/>
      <c r="B443" s="81"/>
      <c r="C443" s="225" t="s">
        <v>495</v>
      </c>
      <c r="D443" s="225"/>
      <c r="E443" s="219"/>
      <c r="F443" s="53"/>
      <c r="G443" s="219"/>
      <c r="H443" s="53"/>
      <c r="I443" s="219"/>
      <c r="J443" s="53"/>
      <c r="K443" s="220"/>
    </row>
    <row r="444" spans="1:11" ht="13.8" thickBot="1" x14ac:dyDescent="0.3">
      <c r="A444" s="81"/>
      <c r="B444" s="81"/>
      <c r="C444" s="225" t="s">
        <v>496</v>
      </c>
      <c r="D444" s="225"/>
      <c r="E444" s="219"/>
      <c r="F444" s="53"/>
      <c r="G444" s="219"/>
      <c r="H444" s="53"/>
      <c r="I444" s="219"/>
      <c r="J444" s="53"/>
      <c r="K444" s="220"/>
    </row>
    <row r="445" spans="1:11" ht="13.8" thickBot="1" x14ac:dyDescent="0.3">
      <c r="A445" s="81"/>
      <c r="B445" s="81"/>
      <c r="C445" s="225" t="s">
        <v>497</v>
      </c>
      <c r="D445" s="225"/>
      <c r="E445" s="219"/>
      <c r="F445" s="53"/>
      <c r="G445" s="219"/>
      <c r="H445" s="53"/>
      <c r="I445" s="219"/>
      <c r="J445" s="53"/>
      <c r="K445" s="220"/>
    </row>
    <row r="446" spans="1:11" ht="13.8" thickBot="1" x14ac:dyDescent="0.3">
      <c r="A446" s="81"/>
      <c r="B446" s="81"/>
      <c r="C446" s="225" t="s">
        <v>498</v>
      </c>
      <c r="D446" s="225"/>
      <c r="E446" s="219"/>
      <c r="F446" s="53"/>
      <c r="G446" s="219"/>
      <c r="H446" s="53"/>
      <c r="I446" s="219"/>
      <c r="J446" s="53"/>
      <c r="K446" s="220"/>
    </row>
    <row r="447" spans="1:11" ht="13.8" thickBot="1" x14ac:dyDescent="0.3">
      <c r="A447" s="81"/>
      <c r="B447" s="81"/>
      <c r="C447" s="225" t="s">
        <v>499</v>
      </c>
      <c r="D447" s="225"/>
      <c r="E447" s="219"/>
      <c r="F447" s="53"/>
      <c r="G447" s="219"/>
      <c r="H447" s="53"/>
      <c r="I447" s="219"/>
      <c r="J447" s="53"/>
      <c r="K447" s="220"/>
    </row>
    <row r="448" spans="1:11" ht="13.8" thickBot="1" x14ac:dyDescent="0.3">
      <c r="A448" s="81"/>
      <c r="B448" s="81"/>
      <c r="C448" s="225" t="s">
        <v>500</v>
      </c>
      <c r="D448" s="225"/>
      <c r="E448" s="219"/>
      <c r="F448" s="53"/>
      <c r="G448" s="219"/>
      <c r="H448" s="53"/>
      <c r="I448" s="219"/>
      <c r="J448" s="53"/>
      <c r="K448" s="220"/>
    </row>
    <row r="449" spans="1:11" ht="13.8" thickBot="1" x14ac:dyDescent="0.3">
      <c r="A449" s="81"/>
      <c r="B449" s="81"/>
      <c r="C449" s="225" t="s">
        <v>501</v>
      </c>
      <c r="D449" s="225"/>
      <c r="E449" s="219"/>
      <c r="F449" s="53"/>
      <c r="G449" s="219"/>
      <c r="H449" s="53"/>
      <c r="I449" s="219"/>
      <c r="J449" s="53"/>
      <c r="K449" s="220"/>
    </row>
    <row r="450" spans="1:11" ht="13.8" thickBot="1" x14ac:dyDescent="0.3">
      <c r="A450" s="81"/>
      <c r="B450" s="81"/>
      <c r="C450" s="226" t="s">
        <v>502</v>
      </c>
      <c r="D450" s="226"/>
      <c r="E450" s="219"/>
      <c r="F450" s="53"/>
      <c r="G450" s="219"/>
      <c r="H450" s="53"/>
      <c r="I450" s="219"/>
      <c r="J450" s="53"/>
      <c r="K450" s="220"/>
    </row>
    <row r="451" spans="1:11" ht="13.8" thickBot="1" x14ac:dyDescent="0.3">
      <c r="A451" s="81"/>
      <c r="B451" s="81"/>
      <c r="C451" s="225" t="s">
        <v>503</v>
      </c>
      <c r="D451" s="225"/>
      <c r="E451" s="219"/>
      <c r="F451" s="53"/>
      <c r="G451" s="219"/>
      <c r="H451" s="53"/>
      <c r="I451" s="219"/>
      <c r="J451" s="53"/>
      <c r="K451" s="220"/>
    </row>
    <row r="452" spans="1:11" ht="13.8" thickBot="1" x14ac:dyDescent="0.3">
      <c r="A452" s="81"/>
      <c r="B452" s="81"/>
      <c r="C452" s="225" t="s">
        <v>504</v>
      </c>
      <c r="D452" s="225"/>
      <c r="E452" s="219"/>
      <c r="F452" s="53"/>
      <c r="G452" s="219"/>
      <c r="H452" s="53"/>
      <c r="I452" s="219"/>
      <c r="J452" s="53"/>
      <c r="K452" s="220"/>
    </row>
    <row r="453" spans="1:11" ht="13.8" thickBot="1" x14ac:dyDescent="0.3">
      <c r="A453" s="81"/>
      <c r="B453" s="81"/>
      <c r="C453" s="225" t="s">
        <v>505</v>
      </c>
      <c r="D453" s="225"/>
      <c r="E453" s="219"/>
      <c r="F453" s="53"/>
      <c r="G453" s="219"/>
      <c r="H453" s="53"/>
      <c r="I453" s="219"/>
      <c r="J453" s="53"/>
      <c r="K453" s="220"/>
    </row>
    <row r="454" spans="1:11" ht="13.8" thickBot="1" x14ac:dyDescent="0.3">
      <c r="A454" s="81"/>
      <c r="B454" s="81"/>
      <c r="C454" s="225" t="s">
        <v>506</v>
      </c>
      <c r="D454" s="225"/>
      <c r="E454" s="222"/>
      <c r="F454" s="53"/>
      <c r="G454" s="219"/>
      <c r="H454" s="53"/>
      <c r="I454" s="219"/>
      <c r="J454" s="53"/>
      <c r="K454" s="219"/>
    </row>
    <row r="455" spans="1:11" ht="13.8" thickBot="1" x14ac:dyDescent="0.3">
      <c r="A455" s="81"/>
      <c r="B455" s="81"/>
      <c r="C455" s="225" t="s">
        <v>507</v>
      </c>
      <c r="D455" s="225"/>
      <c r="E455" s="219"/>
      <c r="F455" s="53"/>
      <c r="G455" s="219"/>
      <c r="H455" s="53"/>
      <c r="I455" s="228"/>
      <c r="J455" s="53"/>
      <c r="K455" s="219"/>
    </row>
    <row r="456" spans="1:11" ht="13.8" thickBot="1" x14ac:dyDescent="0.3">
      <c r="A456" s="81"/>
      <c r="B456" s="81"/>
      <c r="C456" s="225" t="s">
        <v>508</v>
      </c>
      <c r="D456" s="225"/>
      <c r="E456" s="219"/>
      <c r="F456" s="53"/>
      <c r="G456" s="219"/>
      <c r="H456" s="53"/>
      <c r="I456" s="219"/>
      <c r="J456" s="53"/>
      <c r="K456" s="219"/>
    </row>
    <row r="457" spans="1:11" ht="13.8" thickBot="1" x14ac:dyDescent="0.3">
      <c r="A457" s="81"/>
      <c r="B457" s="81"/>
      <c r="C457" s="225" t="s">
        <v>509</v>
      </c>
      <c r="D457" s="225"/>
      <c r="E457" s="219"/>
      <c r="F457" s="46"/>
      <c r="G457" s="219"/>
      <c r="H457" s="46"/>
      <c r="I457" s="219"/>
      <c r="J457" s="46"/>
      <c r="K457" s="219"/>
    </row>
    <row r="458" spans="1:11" x14ac:dyDescent="0.25">
      <c r="A458" s="46"/>
      <c r="C458" s="46"/>
      <c r="E458" s="208"/>
      <c r="F458" s="208"/>
      <c r="G458" s="208"/>
      <c r="H458" s="208"/>
      <c r="I458" s="208"/>
      <c r="J458" s="208"/>
      <c r="K458" s="208"/>
    </row>
    <row r="459" spans="1:11" ht="25.35" customHeight="1" thickBot="1" x14ac:dyDescent="0.3">
      <c r="A459" s="229"/>
      <c r="B459" s="230"/>
      <c r="C459" s="229" t="s">
        <v>510</v>
      </c>
      <c r="D459" s="229"/>
      <c r="E459" s="219"/>
      <c r="F459" s="46"/>
      <c r="G459" s="219"/>
      <c r="H459" s="46"/>
      <c r="I459" s="206"/>
      <c r="J459" s="46"/>
      <c r="K459" s="206"/>
    </row>
    <row r="460" spans="1:11" ht="25.35" customHeight="1" thickBot="1" x14ac:dyDescent="0.3">
      <c r="A460" s="230"/>
      <c r="B460" s="230"/>
      <c r="C460" s="229" t="s">
        <v>511</v>
      </c>
      <c r="D460" s="229"/>
      <c r="E460" s="231"/>
      <c r="F460" s="46"/>
      <c r="G460" s="231"/>
      <c r="H460" s="46"/>
      <c r="I460" s="231"/>
      <c r="J460" s="46"/>
      <c r="K460" s="231"/>
    </row>
    <row r="461" spans="1:11" ht="25.35" customHeight="1" thickBot="1" x14ac:dyDescent="0.3">
      <c r="A461" s="187"/>
      <c r="B461" s="175"/>
      <c r="C461" s="229" t="s">
        <v>512</v>
      </c>
      <c r="D461" s="229"/>
      <c r="E461" s="231"/>
      <c r="F461" s="46"/>
      <c r="G461" s="231"/>
      <c r="H461" s="46"/>
      <c r="I461" s="231"/>
      <c r="J461" s="46"/>
      <c r="K461" s="231"/>
    </row>
    <row r="462" spans="1:11" ht="35.25" customHeight="1" thickBot="1" x14ac:dyDescent="0.3">
      <c r="A462" s="229"/>
      <c r="B462" s="230"/>
      <c r="C462" s="229" t="s">
        <v>513</v>
      </c>
      <c r="D462" s="229"/>
      <c r="E462" s="231"/>
      <c r="F462" s="46"/>
      <c r="G462" s="231"/>
      <c r="H462" s="46"/>
      <c r="I462" s="231"/>
      <c r="J462" s="46"/>
      <c r="K462" s="231"/>
    </row>
    <row r="463" spans="1:11" ht="25.35" customHeight="1" thickBot="1" x14ac:dyDescent="0.3">
      <c r="A463" s="187"/>
      <c r="B463" s="175"/>
      <c r="C463" s="229" t="s">
        <v>514</v>
      </c>
      <c r="D463" s="229"/>
      <c r="E463" s="231"/>
      <c r="F463" s="46"/>
      <c r="G463" s="231"/>
      <c r="H463" s="46"/>
      <c r="I463" s="231"/>
      <c r="J463" s="46"/>
      <c r="K463" s="231"/>
    </row>
    <row r="464" spans="1:11" ht="25.35" customHeight="1" thickBot="1" x14ac:dyDescent="0.3">
      <c r="A464" s="229"/>
      <c r="B464" s="230"/>
      <c r="C464" s="229" t="s">
        <v>515</v>
      </c>
      <c r="D464" s="229"/>
      <c r="E464" s="231"/>
      <c r="F464" s="46"/>
      <c r="G464" s="231"/>
      <c r="H464" s="46"/>
      <c r="I464" s="231"/>
      <c r="J464" s="46"/>
      <c r="K464" s="231"/>
    </row>
  </sheetData>
  <mergeCells count="276">
    <mergeCell ref="A464:B464"/>
    <mergeCell ref="C464:D464"/>
    <mergeCell ref="A460:B460"/>
    <mergeCell ref="C460:D460"/>
    <mergeCell ref="C461:D461"/>
    <mergeCell ref="A462:B462"/>
    <mergeCell ref="C462:D462"/>
    <mergeCell ref="C463:D463"/>
    <mergeCell ref="A456:B456"/>
    <mergeCell ref="C456:D456"/>
    <mergeCell ref="A457:B457"/>
    <mergeCell ref="C457:D457"/>
    <mergeCell ref="A459:B459"/>
    <mergeCell ref="C459:D459"/>
    <mergeCell ref="A453:B453"/>
    <mergeCell ref="C453:D453"/>
    <mergeCell ref="A454:B454"/>
    <mergeCell ref="C454:D454"/>
    <mergeCell ref="A455:B455"/>
    <mergeCell ref="C455:D455"/>
    <mergeCell ref="A450:B450"/>
    <mergeCell ref="C450:D450"/>
    <mergeCell ref="A451:B451"/>
    <mergeCell ref="C451:D451"/>
    <mergeCell ref="A452:B452"/>
    <mergeCell ref="C452:D452"/>
    <mergeCell ref="A447:B447"/>
    <mergeCell ref="C447:D447"/>
    <mergeCell ref="A448:B448"/>
    <mergeCell ref="C448:D448"/>
    <mergeCell ref="A449:B449"/>
    <mergeCell ref="C449:D449"/>
    <mergeCell ref="A444:B444"/>
    <mergeCell ref="C444:D444"/>
    <mergeCell ref="A445:B445"/>
    <mergeCell ref="C445:D445"/>
    <mergeCell ref="A446:B446"/>
    <mergeCell ref="C446:D446"/>
    <mergeCell ref="A441:B441"/>
    <mergeCell ref="C441:D441"/>
    <mergeCell ref="A442:B442"/>
    <mergeCell ref="C442:D442"/>
    <mergeCell ref="A443:B443"/>
    <mergeCell ref="C443:D443"/>
    <mergeCell ref="A438:B438"/>
    <mergeCell ref="C438:D438"/>
    <mergeCell ref="A439:B439"/>
    <mergeCell ref="C439:D439"/>
    <mergeCell ref="A440:B440"/>
    <mergeCell ref="C440:D440"/>
    <mergeCell ref="A435:B435"/>
    <mergeCell ref="C435:D435"/>
    <mergeCell ref="A436:B436"/>
    <mergeCell ref="C436:D436"/>
    <mergeCell ref="A437:B437"/>
    <mergeCell ref="C437:D437"/>
    <mergeCell ref="A432:B432"/>
    <mergeCell ref="C432:D432"/>
    <mergeCell ref="A433:B433"/>
    <mergeCell ref="C433:D433"/>
    <mergeCell ref="A434:B434"/>
    <mergeCell ref="C434:D434"/>
    <mergeCell ref="A429:B429"/>
    <mergeCell ref="C429:D429"/>
    <mergeCell ref="A430:B430"/>
    <mergeCell ref="C430:D430"/>
    <mergeCell ref="A431:B431"/>
    <mergeCell ref="C431:D431"/>
    <mergeCell ref="A426:B426"/>
    <mergeCell ref="C426:D426"/>
    <mergeCell ref="A427:B427"/>
    <mergeCell ref="C427:D427"/>
    <mergeCell ref="A428:B428"/>
    <mergeCell ref="C428:D428"/>
    <mergeCell ref="A423:B423"/>
    <mergeCell ref="C423:D423"/>
    <mergeCell ref="A424:B424"/>
    <mergeCell ref="C424:D424"/>
    <mergeCell ref="A425:B425"/>
    <mergeCell ref="C425:D425"/>
    <mergeCell ref="A420:B420"/>
    <mergeCell ref="C420:D420"/>
    <mergeCell ref="A421:B421"/>
    <mergeCell ref="C421:D421"/>
    <mergeCell ref="A422:B422"/>
    <mergeCell ref="C422:D422"/>
    <mergeCell ref="A416:B416"/>
    <mergeCell ref="C416:D416"/>
    <mergeCell ref="A417:B417"/>
    <mergeCell ref="C417:D417"/>
    <mergeCell ref="A418:B418"/>
    <mergeCell ref="C418:D418"/>
    <mergeCell ref="A413:B413"/>
    <mergeCell ref="C413:D413"/>
    <mergeCell ref="A414:B414"/>
    <mergeCell ref="C414:D414"/>
    <mergeCell ref="A415:B415"/>
    <mergeCell ref="C415:D415"/>
    <mergeCell ref="A410:B410"/>
    <mergeCell ref="C410:D410"/>
    <mergeCell ref="A411:B411"/>
    <mergeCell ref="C411:D411"/>
    <mergeCell ref="A412:B412"/>
    <mergeCell ref="C412:D412"/>
    <mergeCell ref="A407:B407"/>
    <mergeCell ref="C407:D407"/>
    <mergeCell ref="A408:B408"/>
    <mergeCell ref="C408:D408"/>
    <mergeCell ref="A409:B409"/>
    <mergeCell ref="C409:D409"/>
    <mergeCell ref="A404:B404"/>
    <mergeCell ref="C404:D404"/>
    <mergeCell ref="A405:B405"/>
    <mergeCell ref="C405:D405"/>
    <mergeCell ref="A406:B406"/>
    <mergeCell ref="C406:D406"/>
    <mergeCell ref="A401:B401"/>
    <mergeCell ref="C401:D401"/>
    <mergeCell ref="A402:B402"/>
    <mergeCell ref="C402:D402"/>
    <mergeCell ref="A403:B403"/>
    <mergeCell ref="C403:D403"/>
    <mergeCell ref="A398:B398"/>
    <mergeCell ref="C398:D398"/>
    <mergeCell ref="A399:B399"/>
    <mergeCell ref="C399:D399"/>
    <mergeCell ref="A400:B400"/>
    <mergeCell ref="C400:D400"/>
    <mergeCell ref="A395:B395"/>
    <mergeCell ref="C395:D395"/>
    <mergeCell ref="A396:B396"/>
    <mergeCell ref="C396:D396"/>
    <mergeCell ref="A397:B397"/>
    <mergeCell ref="C397:D397"/>
    <mergeCell ref="A392:B392"/>
    <mergeCell ref="C392:D392"/>
    <mergeCell ref="A393:B393"/>
    <mergeCell ref="C393:D393"/>
    <mergeCell ref="A394:B394"/>
    <mergeCell ref="C394:D394"/>
    <mergeCell ref="A389:B389"/>
    <mergeCell ref="C389:D389"/>
    <mergeCell ref="A390:B390"/>
    <mergeCell ref="C390:D390"/>
    <mergeCell ref="A391:B391"/>
    <mergeCell ref="C391:D391"/>
    <mergeCell ref="A386:B386"/>
    <mergeCell ref="C386:D386"/>
    <mergeCell ref="A387:B387"/>
    <mergeCell ref="C387:D387"/>
    <mergeCell ref="A388:B388"/>
    <mergeCell ref="C388:D388"/>
    <mergeCell ref="A383:B383"/>
    <mergeCell ref="C383:D383"/>
    <mergeCell ref="A384:B384"/>
    <mergeCell ref="C384:D384"/>
    <mergeCell ref="A385:B385"/>
    <mergeCell ref="C385:D385"/>
    <mergeCell ref="A380:B380"/>
    <mergeCell ref="C380:D380"/>
    <mergeCell ref="A381:B381"/>
    <mergeCell ref="C381:D381"/>
    <mergeCell ref="A382:B382"/>
    <mergeCell ref="C382:D382"/>
    <mergeCell ref="A377:B377"/>
    <mergeCell ref="C377:D377"/>
    <mergeCell ref="A378:B378"/>
    <mergeCell ref="C378:D378"/>
    <mergeCell ref="A379:B379"/>
    <mergeCell ref="C379:D379"/>
    <mergeCell ref="A374:B374"/>
    <mergeCell ref="C374:D374"/>
    <mergeCell ref="A375:B375"/>
    <mergeCell ref="C375:D375"/>
    <mergeCell ref="A376:B376"/>
    <mergeCell ref="C376:D376"/>
    <mergeCell ref="F360:G360"/>
    <mergeCell ref="F361:G361"/>
    <mergeCell ref="B367:G367"/>
    <mergeCell ref="C369:G369"/>
    <mergeCell ref="C371:G371"/>
    <mergeCell ref="A373:B373"/>
    <mergeCell ref="C373:D373"/>
    <mergeCell ref="H235:K235"/>
    <mergeCell ref="H245:K245"/>
    <mergeCell ref="G246:K246"/>
    <mergeCell ref="H249:K249"/>
    <mergeCell ref="F358:G358"/>
    <mergeCell ref="F359:G359"/>
    <mergeCell ref="G211:K211"/>
    <mergeCell ref="J213:K213"/>
    <mergeCell ref="H216:K216"/>
    <mergeCell ref="H225:K225"/>
    <mergeCell ref="G226:K226"/>
    <mergeCell ref="G232:K232"/>
    <mergeCell ref="C137:E137"/>
    <mergeCell ref="C140:D140"/>
    <mergeCell ref="E140:K140"/>
    <mergeCell ref="A203:A204"/>
    <mergeCell ref="A206:A208"/>
    <mergeCell ref="H206:K206"/>
    <mergeCell ref="G207:K207"/>
    <mergeCell ref="C131:E131"/>
    <mergeCell ref="C132:E132"/>
    <mergeCell ref="C133:E133"/>
    <mergeCell ref="C134:E134"/>
    <mergeCell ref="C135:E135"/>
    <mergeCell ref="C136:E136"/>
    <mergeCell ref="E93:F93"/>
    <mergeCell ref="G93:H93"/>
    <mergeCell ref="E103:F103"/>
    <mergeCell ref="H117:K117"/>
    <mergeCell ref="H118:K118"/>
    <mergeCell ref="C130:D130"/>
    <mergeCell ref="G130:H130"/>
    <mergeCell ref="J130:K130"/>
    <mergeCell ref="E88:F88"/>
    <mergeCell ref="G88:H88"/>
    <mergeCell ref="E90:F90"/>
    <mergeCell ref="G90:H90"/>
    <mergeCell ref="E92:F92"/>
    <mergeCell ref="G92:H92"/>
    <mergeCell ref="E81:F81"/>
    <mergeCell ref="G81:H81"/>
    <mergeCell ref="E84:F84"/>
    <mergeCell ref="G84:H84"/>
    <mergeCell ref="E86:F86"/>
    <mergeCell ref="G86:H86"/>
    <mergeCell ref="E78:F78"/>
    <mergeCell ref="G78:H78"/>
    <mergeCell ref="E79:F79"/>
    <mergeCell ref="G79:H79"/>
    <mergeCell ref="E80:F80"/>
    <mergeCell ref="G80:H80"/>
    <mergeCell ref="C52:E52"/>
    <mergeCell ref="C55:I55"/>
    <mergeCell ref="C56:I56"/>
    <mergeCell ref="C57:I57"/>
    <mergeCell ref="C58:I58"/>
    <mergeCell ref="C59:E59"/>
    <mergeCell ref="C44:I44"/>
    <mergeCell ref="C45:E45"/>
    <mergeCell ref="C48:I48"/>
    <mergeCell ref="C49:I49"/>
    <mergeCell ref="C50:I50"/>
    <mergeCell ref="C51:I51"/>
    <mergeCell ref="C35:D35"/>
    <mergeCell ref="I35:J35"/>
    <mergeCell ref="C36:D36"/>
    <mergeCell ref="C41:I41"/>
    <mergeCell ref="C42:I42"/>
    <mergeCell ref="C43:I43"/>
    <mergeCell ref="C32:D32"/>
    <mergeCell ref="I32:J32"/>
    <mergeCell ref="C33:D33"/>
    <mergeCell ref="I33:J33"/>
    <mergeCell ref="C34:D34"/>
    <mergeCell ref="I34:J34"/>
    <mergeCell ref="A29:E29"/>
    <mergeCell ref="G29:K29"/>
    <mergeCell ref="C30:D30"/>
    <mergeCell ref="I30:J30"/>
    <mergeCell ref="C31:D31"/>
    <mergeCell ref="I31:J31"/>
    <mergeCell ref="B14:K14"/>
    <mergeCell ref="C20:F20"/>
    <mergeCell ref="I20:K20"/>
    <mergeCell ref="C22:F22"/>
    <mergeCell ref="I22:K22"/>
    <mergeCell ref="B24:H24"/>
    <mergeCell ref="C2:G2"/>
    <mergeCell ref="I2:K2"/>
    <mergeCell ref="C4:D4"/>
    <mergeCell ref="C6:D6"/>
    <mergeCell ref="B10:K10"/>
    <mergeCell ref="B11:K12"/>
  </mergeCells>
  <pageMargins left="0.25" right="0.25" top="0.8" bottom="0.52" header="0.25" footer="0.27"/>
  <pageSetup scale="86" fitToHeight="5" orientation="portrait" r:id="rId1"/>
  <headerFooter alignWithMargins="0">
    <oddHeader>&amp;C&amp;"Times New Roman,Bold"&amp;14Marshalls of MA, Inc.&amp;"Times New Roman,Regular"
Lease Abstract</oddHeader>
    <oddFooter>&amp;LMeridian Realty Consultants, LLC&amp;RPage &amp;P</oddFooter>
  </headerFooter>
  <rowBreaks count="8" manualBreakCount="8">
    <brk id="60" max="10" man="1"/>
    <brk id="123" max="10" man="1"/>
    <brk id="177" max="10" man="1"/>
    <brk id="224" max="10" man="1"/>
    <brk id="280" max="10" man="1"/>
    <brk id="342" max="10" man="1"/>
    <brk id="366" max="10" man="1"/>
    <brk id="418" max="10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Marshalls(r)</vt:lpstr>
      <vt:lpstr>'Marshalls(r)'!Print_Area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Eric Fink</dc:creator>
  <cp:lastModifiedBy>Eric Fink</cp:lastModifiedBy>
  <dcterms:created xsi:type="dcterms:W3CDTF">2026-06-05T19:35:43Z</dcterms:created>
  <dcterms:modified xsi:type="dcterms:W3CDTF">2026-06-05T19:36:03Z</dcterms:modified>
</cp:coreProperties>
</file>